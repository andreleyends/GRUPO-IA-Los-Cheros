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gdie\Desktop\ROPA IA PROYECTO\sprint1\Documentacion Estructura\02. Planificacion\"/>
    </mc:Choice>
  </mc:AlternateContent>
  <xr:revisionPtr revIDLastSave="0" documentId="13_ncr:1_{FE78866C-F3F9-4E97-93E8-3263AF8F6CC7}" xr6:coauthVersionLast="47" xr6:coauthVersionMax="47" xr10:uidLastSave="{00000000-0000-0000-0000-000000000000}"/>
  <bookViews>
    <workbookView xWindow="-108" yWindow="-108" windowWidth="23256" windowHeight="12456" tabRatio="522" xr2:uid="{00000000-000D-0000-FFFF-FFFF00000000}"/>
  </bookViews>
  <sheets>
    <sheet name="Sprint 1" sheetId="1" r:id="rId1"/>
    <sheet name="Sprint 2" sheetId="2" r:id="rId2"/>
    <sheet name="Sprint 3" sheetId="3" r:id="rId3"/>
  </sheets>
  <externalReferences>
    <externalReference r:id="rId4"/>
  </externalReferences>
  <definedNames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DoneDays" localSheetId="0">'Sprint 1'!$F$18</definedName>
    <definedName name="DoneDays" localSheetId="1">'Sprint 2'!$F$18</definedName>
    <definedName name="DoneDays" localSheetId="2">'[1]Plantilla Sprint'!$F$18</definedName>
    <definedName name="DoneDays">#REF!</definedName>
    <definedName name="ImplementationDays" localSheetId="0">'Sprint 1'!$D$16</definedName>
    <definedName name="ImplementationDays" localSheetId="1">'Sprint 2'!$D$16</definedName>
    <definedName name="ImplementationDays" localSheetId="2">'[1]Plantilla Sprint'!$D$16</definedName>
    <definedName name="ImplementationDays">#REF!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ProductBacklog">#REF!</definedName>
    <definedName name="RealizedSpeed">OFFSET(#REF!,1,0,#REF!,1)</definedName>
    <definedName name="RealValues" localSheetId="0">OFFSET('Sprint 1'!$H$17,0,0,1,'Sprint 1'!DoneDays)</definedName>
    <definedName name="RealValues" localSheetId="1">OFFSET('Sprint 2'!$H$17,0,0,1,'Sprint 2'!DoneDays)</definedName>
    <definedName name="RealValues" localSheetId="2">OFFSET('[1]Plantilla Sprint'!$H$17,0,0,1,[1]!DoneDays)</definedName>
    <definedName name="Sprint">#REF!</definedName>
    <definedName name="SprintCount">#REF!</definedName>
    <definedName name="SprintsInTrend">#REF!</definedName>
    <definedName name="SprintTasks" localSheetId="0">'Sprint 1'!$C$21:$AF$70</definedName>
    <definedName name="SprintTasks" localSheetId="1">'Sprint 2'!$C$21:$AF$70</definedName>
    <definedName name="SprintTasks" localSheetId="2">'[1]Plantilla Sprint'!$C$21:$AF$70</definedName>
    <definedName name="SprintTasks">#REF!</definedName>
    <definedName name="Status">#REF!</definedName>
    <definedName name="StoryName">#REF!</definedName>
    <definedName name="TaskRows" localSheetId="0">'Sprint 1'!$D$18</definedName>
    <definedName name="TaskRows" localSheetId="1">'Sprint 2'!$D$18</definedName>
    <definedName name="TaskRows" localSheetId="2">'[1]Plantilla Sprint'!$D$18</definedName>
    <definedName name="TaskRows">#REF!</definedName>
    <definedName name="TaskStatus" localSheetId="0">'Sprint 1'!$F$21:$F$65</definedName>
    <definedName name="TaskStatus" localSheetId="1">'Sprint 2'!$F$21:$F$65</definedName>
    <definedName name="TaskStatus" localSheetId="2">'[1]Plantilla Sprint'!$F$21:$F$65</definedName>
    <definedName name="TaskStatus">#REF!</definedName>
    <definedName name="TaskStoryID" localSheetId="0">'Sprint 1'!$D$21:$D$60</definedName>
    <definedName name="TaskStoryID" localSheetId="1">'Sprint 2'!$D$21:$D$60</definedName>
    <definedName name="TaskStoryID" localSheetId="2">'[1]Plantilla Sprint'!$D$21:$D$60</definedName>
    <definedName name="TaskStoryID">#REF!</definedName>
    <definedName name="TotalEffort" localSheetId="0">'Sprint 1'!$G$17</definedName>
    <definedName name="TotalEffort" localSheetId="1">'Sprint 2'!$G$17</definedName>
    <definedName name="TotalEffort" localSheetId="2">'[1]Plantilla Sprint'!$G$17</definedName>
    <definedName name="TotalEffort">#REF!</definedName>
    <definedName name="TrendDays" localSheetId="0">'Sprint 1'!$F$20</definedName>
    <definedName name="TrendDays" localSheetId="1">'Sprint 2'!$F$20</definedName>
    <definedName name="TrendDays" localSheetId="2">'[1]Plantilla Sprint'!$F$20</definedName>
    <definedName name="TrendDays">#REF!</definedName>
    <definedName name="TrendOffset">#REF!</definedName>
    <definedName name="TrendSprintCou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1" i="3" l="1"/>
  <c r="H66" i="3"/>
  <c r="H65" i="3"/>
  <c r="H64" i="3"/>
  <c r="I63" i="3"/>
  <c r="H63" i="3"/>
  <c r="F63" i="3"/>
  <c r="I62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I21" i="3"/>
  <c r="J21" i="3" s="1"/>
  <c r="H20" i="3"/>
  <c r="F20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I18" i="3"/>
  <c r="D18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F18" i="3" s="1"/>
  <c r="G17" i="3"/>
  <c r="H18" i="3" s="1"/>
  <c r="F71" i="2"/>
  <c r="H66" i="2"/>
  <c r="H65" i="2"/>
  <c r="H64" i="2"/>
  <c r="H63" i="2"/>
  <c r="F63" i="2"/>
  <c r="H62" i="2"/>
  <c r="F62" i="2"/>
  <c r="H61" i="2"/>
  <c r="F61" i="2"/>
  <c r="H60" i="2"/>
  <c r="F60" i="2"/>
  <c r="H59" i="2"/>
  <c r="F59" i="2"/>
  <c r="H58" i="2"/>
  <c r="F58" i="2"/>
  <c r="H57" i="2"/>
  <c r="F57" i="2"/>
  <c r="H56" i="2"/>
  <c r="F56" i="2"/>
  <c r="H55" i="2"/>
  <c r="F55" i="2"/>
  <c r="H54" i="2"/>
  <c r="F54" i="2"/>
  <c r="H53" i="2"/>
  <c r="F53" i="2"/>
  <c r="H52" i="2"/>
  <c r="F52" i="2"/>
  <c r="H51" i="2"/>
  <c r="F51" i="2"/>
  <c r="H50" i="2"/>
  <c r="F50" i="2"/>
  <c r="H49" i="2"/>
  <c r="F49" i="2"/>
  <c r="H48" i="2"/>
  <c r="F48" i="2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I21" i="2"/>
  <c r="D18" i="2"/>
  <c r="F71" i="1"/>
  <c r="H66" i="1"/>
  <c r="H65" i="1"/>
  <c r="H64" i="1"/>
  <c r="H63" i="1"/>
  <c r="F63" i="1"/>
  <c r="H62" i="1"/>
  <c r="F62" i="1"/>
  <c r="H61" i="1"/>
  <c r="F61" i="1"/>
  <c r="H60" i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I21" i="1"/>
  <c r="D18" i="1"/>
  <c r="K21" i="3" l="1"/>
  <c r="J63" i="3"/>
  <c r="J62" i="3"/>
  <c r="J18" i="3"/>
  <c r="I63" i="2"/>
  <c r="I62" i="2"/>
  <c r="J21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L17" i="2"/>
  <c r="K17" i="2"/>
  <c r="J17" i="2"/>
  <c r="I17" i="2"/>
  <c r="H17" i="2"/>
  <c r="G17" i="2"/>
  <c r="M17" i="2"/>
  <c r="I63" i="1"/>
  <c r="I62" i="1"/>
  <c r="J21" i="1"/>
  <c r="AD17" i="1"/>
  <c r="AB17" i="1"/>
  <c r="Z17" i="1"/>
  <c r="X17" i="1"/>
  <c r="V17" i="1"/>
  <c r="T17" i="1"/>
  <c r="S17" i="1"/>
  <c r="Q17" i="1"/>
  <c r="O17" i="1"/>
  <c r="M17" i="1"/>
  <c r="K17" i="1"/>
  <c r="I17" i="1"/>
  <c r="G17" i="1"/>
  <c r="AC17" i="1"/>
  <c r="AA17" i="1"/>
  <c r="Y17" i="1"/>
  <c r="W17" i="1"/>
  <c r="U17" i="1"/>
  <c r="R17" i="1"/>
  <c r="P17" i="1"/>
  <c r="N17" i="1"/>
  <c r="L17" i="1"/>
  <c r="J17" i="1"/>
  <c r="H17" i="1"/>
  <c r="L21" i="3" l="1"/>
  <c r="K62" i="3"/>
  <c r="K63" i="3"/>
  <c r="K18" i="3"/>
  <c r="K21" i="2"/>
  <c r="J62" i="2"/>
  <c r="J63" i="2"/>
  <c r="J18" i="2"/>
  <c r="I18" i="2"/>
  <c r="H18" i="2"/>
  <c r="K21" i="1"/>
  <c r="J62" i="1"/>
  <c r="J63" i="1"/>
  <c r="J18" i="1"/>
  <c r="I18" i="1"/>
  <c r="H18" i="1"/>
  <c r="M21" i="3" l="1"/>
  <c r="L18" i="3"/>
  <c r="L63" i="3"/>
  <c r="L62" i="3"/>
  <c r="L21" i="2"/>
  <c r="K62" i="2"/>
  <c r="K63" i="2"/>
  <c r="K18" i="2"/>
  <c r="K62" i="1"/>
  <c r="K63" i="1"/>
  <c r="K18" i="1"/>
  <c r="L21" i="1"/>
  <c r="N21" i="3" l="1"/>
  <c r="M62" i="3"/>
  <c r="M63" i="3"/>
  <c r="M18" i="3"/>
  <c r="M21" i="2"/>
  <c r="L62" i="2"/>
  <c r="L63" i="2"/>
  <c r="L18" i="2"/>
  <c r="M21" i="1"/>
  <c r="L62" i="1"/>
  <c r="L63" i="1"/>
  <c r="L18" i="1"/>
  <c r="O21" i="3" l="1"/>
  <c r="N63" i="3"/>
  <c r="N62" i="3"/>
  <c r="N18" i="3"/>
  <c r="N21" i="2"/>
  <c r="M62" i="2"/>
  <c r="M63" i="2"/>
  <c r="M18" i="2"/>
  <c r="M62" i="1"/>
  <c r="M63" i="1"/>
  <c r="M18" i="1"/>
  <c r="N21" i="1"/>
  <c r="P21" i="3" l="1"/>
  <c r="O62" i="3"/>
  <c r="O63" i="3"/>
  <c r="O18" i="3"/>
  <c r="O21" i="2"/>
  <c r="N62" i="2"/>
  <c r="N63" i="2"/>
  <c r="N18" i="2"/>
  <c r="N18" i="1"/>
  <c r="O21" i="1"/>
  <c r="N62" i="1"/>
  <c r="N63" i="1"/>
  <c r="Q21" i="3" l="1"/>
  <c r="P63" i="3"/>
  <c r="P62" i="3"/>
  <c r="P18" i="3"/>
  <c r="P21" i="2"/>
  <c r="O62" i="2"/>
  <c r="O63" i="2"/>
  <c r="O18" i="2"/>
  <c r="O62" i="1"/>
  <c r="O63" i="1"/>
  <c r="O18" i="1"/>
  <c r="P21" i="1"/>
  <c r="R21" i="3" l="1"/>
  <c r="Q18" i="3"/>
  <c r="Q62" i="3"/>
  <c r="Q63" i="3"/>
  <c r="Q21" i="2"/>
  <c r="P62" i="2"/>
  <c r="P63" i="2"/>
  <c r="P18" i="2"/>
  <c r="Q21" i="1"/>
  <c r="P62" i="1"/>
  <c r="P63" i="1"/>
  <c r="P18" i="1"/>
  <c r="S21" i="3" l="1"/>
  <c r="R63" i="3"/>
  <c r="R62" i="3"/>
  <c r="R18" i="3"/>
  <c r="R21" i="2"/>
  <c r="Q62" i="2"/>
  <c r="Q63" i="2"/>
  <c r="Q18" i="2"/>
  <c r="R21" i="1"/>
  <c r="Q62" i="1"/>
  <c r="Q63" i="1"/>
  <c r="Q18" i="1"/>
  <c r="T21" i="3" l="1"/>
  <c r="S62" i="3"/>
  <c r="S63" i="3"/>
  <c r="S18" i="3"/>
  <c r="S21" i="2"/>
  <c r="R62" i="2"/>
  <c r="R63" i="2"/>
  <c r="R18" i="2"/>
  <c r="R62" i="1"/>
  <c r="R63" i="1"/>
  <c r="R18" i="1"/>
  <c r="S21" i="1"/>
  <c r="U21" i="3" l="1"/>
  <c r="T62" i="3"/>
  <c r="T63" i="3"/>
  <c r="T18" i="3"/>
  <c r="T21" i="2"/>
  <c r="S62" i="2"/>
  <c r="S63" i="2"/>
  <c r="S18" i="2"/>
  <c r="T21" i="1"/>
  <c r="S62" i="1"/>
  <c r="S63" i="1"/>
  <c r="S18" i="1"/>
  <c r="V21" i="3" l="1"/>
  <c r="U18" i="3"/>
  <c r="U62" i="3"/>
  <c r="U63" i="3"/>
  <c r="U21" i="2"/>
  <c r="T62" i="2"/>
  <c r="T63" i="2"/>
  <c r="T18" i="2"/>
  <c r="U21" i="1"/>
  <c r="T62" i="1"/>
  <c r="T63" i="1"/>
  <c r="T18" i="1"/>
  <c r="W21" i="3" l="1"/>
  <c r="V62" i="3"/>
  <c r="V63" i="3"/>
  <c r="V18" i="3"/>
  <c r="V21" i="2"/>
  <c r="U62" i="2"/>
  <c r="U63" i="2"/>
  <c r="U18" i="2"/>
  <c r="U62" i="1"/>
  <c r="U63" i="1"/>
  <c r="U18" i="1"/>
  <c r="V21" i="1"/>
  <c r="X21" i="3" l="1"/>
  <c r="W18" i="3"/>
  <c r="W62" i="3"/>
  <c r="W63" i="3"/>
  <c r="W21" i="2"/>
  <c r="V62" i="2"/>
  <c r="V63" i="2"/>
  <c r="V18" i="2"/>
  <c r="W21" i="1"/>
  <c r="V62" i="1"/>
  <c r="V63" i="1"/>
  <c r="V18" i="1"/>
  <c r="Y21" i="3" l="1"/>
  <c r="X62" i="3"/>
  <c r="X63" i="3"/>
  <c r="X18" i="3"/>
  <c r="X21" i="2"/>
  <c r="W62" i="2"/>
  <c r="W63" i="2"/>
  <c r="W18" i="2"/>
  <c r="X21" i="1"/>
  <c r="W62" i="1"/>
  <c r="W63" i="1"/>
  <c r="W18" i="1"/>
  <c r="Z21" i="3" l="1"/>
  <c r="Y62" i="3"/>
  <c r="Y63" i="3"/>
  <c r="Y18" i="3"/>
  <c r="Y21" i="2"/>
  <c r="X62" i="2"/>
  <c r="X63" i="2"/>
  <c r="X18" i="2"/>
  <c r="X62" i="1"/>
  <c r="X63" i="1"/>
  <c r="X18" i="1"/>
  <c r="Y21" i="1"/>
  <c r="AA21" i="3" l="1"/>
  <c r="Z62" i="3"/>
  <c r="Z63" i="3"/>
  <c r="Z18" i="3"/>
  <c r="Z21" i="2"/>
  <c r="Y62" i="2"/>
  <c r="Y63" i="2"/>
  <c r="Y18" i="2"/>
  <c r="Z21" i="1"/>
  <c r="Y62" i="1"/>
  <c r="Y63" i="1"/>
  <c r="Y18" i="1"/>
  <c r="AB21" i="3" l="1"/>
  <c r="AA62" i="3"/>
  <c r="AA63" i="3"/>
  <c r="AA18" i="3"/>
  <c r="AA21" i="2"/>
  <c r="Z62" i="2"/>
  <c r="Z63" i="2"/>
  <c r="Z18" i="2"/>
  <c r="AA21" i="1"/>
  <c r="Z62" i="1"/>
  <c r="Z63" i="1"/>
  <c r="Z18" i="1"/>
  <c r="AC21" i="3" l="1"/>
  <c r="AB62" i="3"/>
  <c r="AB63" i="3"/>
  <c r="AB18" i="3"/>
  <c r="AB21" i="2"/>
  <c r="AA62" i="2"/>
  <c r="AA63" i="2"/>
  <c r="AA18" i="2"/>
  <c r="AA62" i="1"/>
  <c r="AA63" i="1"/>
  <c r="AA18" i="1"/>
  <c r="AB21" i="1"/>
  <c r="AD21" i="3" l="1"/>
  <c r="AC62" i="3"/>
  <c r="AC63" i="3"/>
  <c r="AC18" i="3"/>
  <c r="AC21" i="2"/>
  <c r="AB62" i="2"/>
  <c r="AB63" i="2"/>
  <c r="AB18" i="2"/>
  <c r="AB18" i="1"/>
  <c r="AC21" i="1"/>
  <c r="AB62" i="1"/>
  <c r="AB63" i="1"/>
  <c r="AE21" i="3" l="1"/>
  <c r="AD62" i="3"/>
  <c r="AD63" i="3"/>
  <c r="AD18" i="3"/>
  <c r="AD21" i="2"/>
  <c r="AC62" i="2"/>
  <c r="AC63" i="2"/>
  <c r="AC18" i="2"/>
  <c r="AC62" i="1"/>
  <c r="AC63" i="1"/>
  <c r="AC18" i="1"/>
  <c r="AD21" i="1"/>
  <c r="AF21" i="3" l="1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58" i="3"/>
  <c r="AE42" i="3"/>
  <c r="AE43" i="3"/>
  <c r="AE46" i="3"/>
  <c r="AE48" i="3"/>
  <c r="AE51" i="3"/>
  <c r="AE54" i="3"/>
  <c r="AE56" i="3"/>
  <c r="AE61" i="3"/>
  <c r="AE62" i="3"/>
  <c r="AE63" i="3"/>
  <c r="AE64" i="3"/>
  <c r="AE65" i="3"/>
  <c r="AE40" i="3"/>
  <c r="AE41" i="3"/>
  <c r="AE47" i="3"/>
  <c r="AE50" i="3"/>
  <c r="AE53" i="3"/>
  <c r="AE55" i="3"/>
  <c r="AE59" i="3"/>
  <c r="AE60" i="3"/>
  <c r="AE44" i="3"/>
  <c r="AE45" i="3"/>
  <c r="AE49" i="3"/>
  <c r="AE52" i="3"/>
  <c r="AE57" i="3"/>
  <c r="AE18" i="3"/>
  <c r="AE21" i="2"/>
  <c r="AD62" i="2"/>
  <c r="AD63" i="2"/>
  <c r="AD18" i="2"/>
  <c r="AE21" i="1"/>
  <c r="AD62" i="1"/>
  <c r="AD63" i="1"/>
  <c r="AD18" i="1"/>
  <c r="AF22" i="3" l="1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18" i="3"/>
  <c r="AF40" i="3"/>
  <c r="AF43" i="3"/>
  <c r="AF46" i="3"/>
  <c r="AF48" i="3"/>
  <c r="AF51" i="3"/>
  <c r="AF54" i="3"/>
  <c r="AF56" i="3"/>
  <c r="AF61" i="3"/>
  <c r="AF62" i="3"/>
  <c r="AF63" i="3"/>
  <c r="AF64" i="3"/>
  <c r="AF65" i="3"/>
  <c r="AF41" i="3"/>
  <c r="AF47" i="3"/>
  <c r="AF49" i="3"/>
  <c r="AF50" i="3"/>
  <c r="AF52" i="3"/>
  <c r="AF53" i="3"/>
  <c r="AF55" i="3"/>
  <c r="AF57" i="3"/>
  <c r="AF59" i="3"/>
  <c r="AF42" i="3"/>
  <c r="AF44" i="3"/>
  <c r="AF45" i="3"/>
  <c r="AF58" i="3"/>
  <c r="AF60" i="3"/>
  <c r="AF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56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7" i="2"/>
  <c r="AE58" i="2"/>
  <c r="AE59" i="2"/>
  <c r="AE60" i="2"/>
  <c r="AE61" i="2"/>
  <c r="AE62" i="2"/>
  <c r="AE63" i="2"/>
  <c r="AE64" i="2"/>
  <c r="AE65" i="2"/>
  <c r="AE18" i="2"/>
  <c r="AE25" i="1"/>
  <c r="AE26" i="1"/>
  <c r="AE27" i="1"/>
  <c r="AE28" i="1"/>
  <c r="AE32" i="1"/>
  <c r="AE36" i="1"/>
  <c r="AE37" i="1"/>
  <c r="AE38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F21" i="1"/>
  <c r="AE23" i="1"/>
  <c r="AE24" i="1"/>
  <c r="AE29" i="1"/>
  <c r="AE30" i="1"/>
  <c r="AE31" i="1"/>
  <c r="AE33" i="1"/>
  <c r="AE34" i="1"/>
  <c r="AE39" i="1"/>
  <c r="AE56" i="1"/>
  <c r="AE57" i="1"/>
  <c r="AE58" i="1"/>
  <c r="AE59" i="1"/>
  <c r="AE60" i="1"/>
  <c r="AE61" i="1"/>
  <c r="AE62" i="1"/>
  <c r="AE63" i="1"/>
  <c r="AE64" i="1"/>
  <c r="AE65" i="1"/>
  <c r="AE22" i="1"/>
  <c r="AE17" i="1" s="1"/>
  <c r="AE35" i="1"/>
  <c r="AE18" i="1"/>
  <c r="AF22" i="2" l="1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56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7" i="2"/>
  <c r="AF58" i="2"/>
  <c r="AF59" i="2"/>
  <c r="AF60" i="2"/>
  <c r="AF61" i="2"/>
  <c r="AF62" i="2"/>
  <c r="AF63" i="2"/>
  <c r="AF64" i="2"/>
  <c r="AF65" i="2"/>
  <c r="AF18" i="2"/>
  <c r="AF25" i="1"/>
  <c r="AF26" i="1"/>
  <c r="AF27" i="1"/>
  <c r="AF28" i="1"/>
  <c r="AF30" i="1"/>
  <c r="AF31" i="1"/>
  <c r="AF33" i="1"/>
  <c r="AF36" i="1"/>
  <c r="AF56" i="1"/>
  <c r="AF57" i="1"/>
  <c r="AF58" i="1"/>
  <c r="AF59" i="1"/>
  <c r="AF60" i="1"/>
  <c r="AF61" i="1"/>
  <c r="AF62" i="1"/>
  <c r="AF63" i="1"/>
  <c r="AF64" i="1"/>
  <c r="AF65" i="1"/>
  <c r="AF18" i="1"/>
  <c r="AF24" i="1"/>
  <c r="AF35" i="1"/>
  <c r="AF37" i="1"/>
  <c r="AF22" i="1"/>
  <c r="AF23" i="1"/>
  <c r="AF29" i="1"/>
  <c r="AF32" i="1"/>
  <c r="AF34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E17" i="2"/>
  <c r="AF17" i="2" l="1"/>
  <c r="F18" i="2" s="1"/>
  <c r="AF17" i="1"/>
  <c r="F18" i="1" s="1"/>
  <c r="F20" i="2" l="1"/>
  <c r="H20" i="2"/>
  <c r="F20" i="1"/>
  <c r="H20" i="1"/>
  <c r="L19" i="2" l="1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I19" i="2"/>
  <c r="H19" i="2"/>
  <c r="J19" i="2"/>
  <c r="K19" i="2"/>
  <c r="J19" i="1"/>
  <c r="H19" i="1"/>
  <c r="K19" i="1"/>
  <c r="O19" i="1"/>
  <c r="S19" i="1"/>
  <c r="AE19" i="1"/>
  <c r="Q19" i="1"/>
  <c r="U19" i="1"/>
  <c r="W19" i="1"/>
  <c r="M19" i="1"/>
  <c r="P19" i="1"/>
  <c r="R19" i="1"/>
  <c r="V19" i="1"/>
  <c r="Y19" i="1"/>
  <c r="Z19" i="1"/>
  <c r="AA19" i="1"/>
  <c r="AB19" i="1"/>
  <c r="AC19" i="1"/>
  <c r="X19" i="1"/>
  <c r="AD19" i="1"/>
  <c r="AF19" i="1"/>
  <c r="I19" i="1"/>
  <c r="L19" i="1"/>
  <c r="N19" i="1"/>
  <c r="T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Petri Heiramo</author>
  </authors>
  <commentList>
    <comment ref="C16" authorId="0" shapeId="0" xr:uid="{00000000-0006-0000-0000-000001000000}">
      <text>
        <r>
          <rPr>
            <sz val="10"/>
            <rFont val="Arial"/>
          </rPr>
          <t>Count only active working and implementation days. Do not include Planning Day or Sprint Review.
E.g. a 4-week Sprint would most likely have 18 implementation days.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Petri Heiramo</author>
  </authors>
  <commentList>
    <comment ref="C16" authorId="0" shapeId="0" xr:uid="{00000000-0006-0000-0100-000001000000}">
      <text>
        <r>
          <rPr>
            <sz val="10"/>
            <rFont val="Arial"/>
          </rPr>
          <t>Count only active working and implementation days. Do not include Planning Day or Sprint Review.
E.g. a 4-week Sprint would most likely have 18 implementation days.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Petri Heiramo</author>
  </authors>
  <commentList>
    <comment ref="C16" authorId="0" shapeId="0" xr:uid="{00000000-0006-0000-0200-000001000000}">
      <text>
        <r>
          <rPr>
            <sz val="10"/>
            <rFont val="Arial"/>
          </rPr>
          <t>Count only active working and implementation days. Do not include Planning Day or Sprint Review.
E.g. a 4-week Sprint would most likely have 18 implementation days.</t>
        </r>
      </text>
    </comment>
  </commentList>
</comments>
</file>

<file path=xl/sharedStrings.xml><?xml version="1.0" encoding="utf-8"?>
<sst xmlns="http://schemas.openxmlformats.org/spreadsheetml/2006/main" count="296" uniqueCount="132">
  <si>
    <t>Nombre del Proyecto:</t>
  </si>
  <si>
    <t>StyleMate</t>
  </si>
  <si>
    <t>Dueño del Proyecto</t>
  </si>
  <si>
    <t>Suel Monrroy, David Joshua (Product Owner)</t>
  </si>
  <si>
    <t>Gerente del Proyecto:</t>
  </si>
  <si>
    <t>Suel Monrroy, David Joshua (Scrum Master)</t>
  </si>
  <si>
    <t>Duración del Sprint</t>
  </si>
  <si>
    <t>Esfuerzo</t>
  </si>
  <si>
    <t>Faltante en los días siguientes…</t>
  </si>
  <si>
    <t>Tendencia calculada en los últimos</t>
  </si>
  <si>
    <t>Días</t>
  </si>
  <si>
    <t>Totales</t>
  </si>
  <si>
    <t>Task rows</t>
  </si>
  <si>
    <t>Done days</t>
  </si>
  <si>
    <t>Warning! These are necessary</t>
  </si>
  <si>
    <t>Trend</t>
  </si>
  <si>
    <t>template rows</t>
  </si>
  <si>
    <t>Trend Days</t>
  </si>
  <si>
    <t>ID Tarea</t>
  </si>
  <si>
    <t>Tarea</t>
  </si>
  <si>
    <t>ID Historia</t>
  </si>
  <si>
    <t>Responsable</t>
  </si>
  <si>
    <t>Estado</t>
  </si>
  <si>
    <t>Est.</t>
  </si>
  <si>
    <t>1.1</t>
  </si>
  <si>
    <t>Descarga de Fashionpedia (4.2 GB) y verificación de integridad</t>
  </si>
  <si>
    <t>HU01</t>
  </si>
  <si>
    <t>Huamantalla Ríos, Diego Miguel</t>
  </si>
  <si>
    <t>Terminado</t>
  </si>
  <si>
    <t>1.2</t>
  </si>
  <si>
    <t>Parseo del JSON de anotaciones con ijson e índice de instancias por imagen</t>
  </si>
  <si>
    <t>1.3</t>
  </si>
  <si>
    <t>EDA: distribuciones de categoría y atributo, nulos, taxonomía</t>
  </si>
  <si>
    <t>1.4</t>
  </si>
  <si>
    <t>Diseño de GarmentNet, protocolo de entrenamiento y plan de ablación</t>
  </si>
  <si>
    <t>HU02</t>
  </si>
  <si>
    <t>Latorre Campos, Andre Ismael</t>
  </si>
  <si>
    <t>1.5</t>
  </si>
  <si>
    <t>Módulo de dataset, memmap uint8 y pipeline de augmentation</t>
  </si>
  <si>
    <t>1.6</t>
  </si>
  <si>
    <t>Objetivos de negocio, criterios de éxito, reglas y restricciones duras</t>
  </si>
  <si>
    <t>HU03</t>
  </si>
  <si>
    <t>Ordoñez Paniura, Marcela Leonor</t>
  </si>
  <si>
    <t>1.7</t>
  </si>
  <si>
    <t>rules.py v1, léxico de moda ES/EN y vectorizador de gusto (40 dims)</t>
  </si>
  <si>
    <t>1.8</t>
  </si>
  <si>
    <t>Sprint Planning, backlog de producto y wireframes de la app</t>
  </si>
  <si>
    <t>HU04</t>
  </si>
  <si>
    <t>Suel Monrroy David Joshua</t>
  </si>
  <si>
    <t>1.9</t>
  </si>
  <si>
    <t>Documentación CRISP-DM fase 1: necesidad, objetivos, alcance y plan</t>
  </si>
  <si>
    <t>1.10</t>
  </si>
  <si>
    <t>Sprint Review y Retrospectiva del Sprint 1</t>
  </si>
  <si>
    <t>Done</t>
  </si>
  <si>
    <t>In Progress</t>
  </si>
  <si>
    <t>To Do</t>
  </si>
  <si>
    <t>2.1</t>
  </si>
  <si>
    <t>Recorte de 332k prendas con máscaras GT y extracción de color Lab</t>
  </si>
  <si>
    <t>HU05</t>
  </si>
  <si>
    <t>En Progreso</t>
  </si>
  <si>
    <t>2.2</t>
  </si>
  <si>
    <t>Pares de co-ocurrencia y hard negative mining (mismo slot)</t>
  </si>
  <si>
    <t>2.3</t>
  </si>
  <si>
    <t>Cache de embeddings y pipeline de inferencia en frío</t>
  </si>
  <si>
    <t>2.4</t>
  </si>
  <si>
    <t>QA visual del dataset (grid de muestras) y matriz de trazabilidad</t>
  </si>
  <si>
    <t>2.5</t>
  </si>
  <si>
    <t>Smoke test del pipeline y baseline de clase mayoritaria (17,8 %)</t>
  </si>
  <si>
    <t>HU06</t>
  </si>
  <si>
    <t>2.6</t>
  </si>
  <si>
    <t>Corrida principal GarmentNet: 30 épocas, bf16, GPU (proceso nocturno)</t>
  </si>
  <si>
    <t>2.7</t>
  </si>
  <si>
    <t>Curvas de aprendizaje preliminar y registro de hiperparámetros</t>
  </si>
  <si>
    <t>2.8</t>
  </si>
  <si>
    <t>Evaluación CNN: top-1 y macro-F1 por cabeza frente al baseline</t>
  </si>
  <si>
    <t>2.9</t>
  </si>
  <si>
    <t>rules.py: paleta armónica, slots y restricciones duras con tests</t>
  </si>
  <si>
    <t>HU07</t>
  </si>
  <si>
    <t>2.10</t>
  </si>
  <si>
    <t>Catálogo de 178k prendas y búsqueda por slot</t>
  </si>
  <si>
    <t>2.11</t>
  </si>
  <si>
    <t>KMeans sobre embeddings y nombre de los 12 estilos</t>
  </si>
  <si>
    <t>2.12</t>
  </si>
  <si>
    <t>Entrenamiento de CompatHead, TasteHead y StyleHead</t>
  </si>
  <si>
    <t>2.13</t>
  </si>
  <si>
    <t>Streamlit: pestañas 1 y 2 (cargar placard, mi gusto)</t>
  </si>
  <si>
    <t>HU08</t>
  </si>
  <si>
    <t>2.14</t>
  </si>
  <si>
    <t>Streamlit: pestaña 3 (recomendar) e integración</t>
  </si>
  <si>
    <t>2.15</t>
  </si>
  <si>
    <t>Documentación CRISP-DM fases 2, 3 y 4</t>
  </si>
  <si>
    <t>2.16</t>
  </si>
  <si>
    <t>Sprint Review y Retrospectiva del Sprint 2</t>
  </si>
  <si>
    <t>3.1</t>
  </si>
  <si>
    <t>Segmentación clásica en inferencia: Otsu sobre borde más GrabCut</t>
  </si>
  <si>
    <t>HU09</t>
  </si>
  <si>
    <t>Por Hacer</t>
  </si>
  <si>
    <t>3.2</t>
  </si>
  <si>
    <t>Dockerización y guía de despliegue reproducible (CRISP-DM 6)</t>
  </si>
  <si>
    <t>3.3</t>
  </si>
  <si>
    <t>Auditoría de integridad del dataset y release del catálogo</t>
  </si>
  <si>
    <t>3.4</t>
  </si>
  <si>
    <t>Informe: sección de datos y preprocesamiento</t>
  </si>
  <si>
    <t>3.5</t>
  </si>
  <si>
    <t>Corrida A (shallow, control) para ablación de profundidad</t>
  </si>
  <si>
    <t>HU10</t>
  </si>
  <si>
    <t>3.6</t>
  </si>
  <si>
    <t>Corrida C (deep), solo si hay tiempo</t>
  </si>
  <si>
    <t>3.7</t>
  </si>
  <si>
    <t>Curvas de aprendizaje y tablas de métricas finales de la CNN</t>
  </si>
  <si>
    <t>3.8</t>
  </si>
  <si>
    <t>Informe: sección de modelos y resultados de la CNN</t>
  </si>
  <si>
    <t>3.9</t>
  </si>
  <si>
    <t>Soporte de integración en la app y preparación de demo técnica</t>
  </si>
  <si>
    <t>3.10</t>
  </si>
  <si>
    <t>Beam search e integración Taste, Compat y reglas duras</t>
  </si>
  <si>
    <t>HU11</t>
  </si>
  <si>
    <t>3.11</t>
  </si>
  <si>
    <t>Evaluación comparativa: MLP frente a conteo-PMI y frente a rules.py</t>
  </si>
  <si>
    <t>3.12</t>
  </si>
  <si>
    <t>Ablación taste on/off y AUC en hard negatives</t>
  </si>
  <si>
    <t>3.13</t>
  </si>
  <si>
    <t>Análisis estadístico (Wilcoxon) y tabular de resultados</t>
  </si>
  <si>
    <t>3.14</t>
  </si>
  <si>
    <t>Streamlit: pestaña 4 (links de compra) y pestaña 5 (feedback y métricas)</t>
  </si>
  <si>
    <t>HU12</t>
  </si>
  <si>
    <t>3.15</t>
  </si>
  <si>
    <t>User study de 3 brazos: coordinación y tabulación (participan los 4)</t>
  </si>
  <si>
    <t>3.16</t>
  </si>
  <si>
    <t>Informe: introducción, antecedentes, marco teórico y gestión</t>
  </si>
  <si>
    <t>3.17</t>
  </si>
  <si>
    <t>Demo de entrega, Sprint Review final y Retrospectiva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</si>
</sst>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print &quot;#&quot; Backlog&quot;"/>
  </numFmts>
  <fonts count="5" x14ac:knownFonts="1">
    <font>
      <sz val="10"/>
      <name val="Arial"/>
    </font>
    <font>
      <b/>
      <sz val="10"/>
      <name val="Arial"/>
      <family val="2"/>
    </font>
    <font>
      <sz val="14"/>
      <name val="Arial"/>
      <family val="2"/>
    </font>
    <font>
      <b/>
      <sz val="10"/>
      <color indexed="10"/>
      <name val="Arial"/>
      <family val="2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0" xfId="0" applyFont="1" applyFill="1" applyAlignment="1">
      <alignment horizontal="center" vertical="center" wrapText="1"/>
    </xf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0" fillId="3" borderId="7" xfId="0" applyFill="1" applyBorder="1"/>
    <xf numFmtId="0" fontId="2" fillId="3" borderId="7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3" borderId="9" xfId="0" applyFont="1" applyFill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12"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7845828933474131"/>
          <c:y val="8.8235610910252865E-2"/>
          <c:w val="0.81731784582893352"/>
          <c:h val="0.8308853360715478"/>
        </c:manualLayout>
      </c:layout>
      <c:barChart>
        <c:barDir val="col"/>
        <c:grouping val="clustered"/>
        <c:varyColors val="0"/>
        <c:ser>
          <c:idx val="0"/>
          <c:order val="0"/>
          <c:tx>
            <c:v>Daily Progress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'Sprint 1'!$H$17:$AF$17</c:f>
              <c:numCache>
                <c:formatCode>General</c:formatCode>
                <c:ptCount val="25"/>
                <c:pt idx="0">
                  <c:v>32</c:v>
                </c:pt>
                <c:pt idx="1">
                  <c:v>32</c:v>
                </c:pt>
                <c:pt idx="2">
                  <c:v>24</c:v>
                </c:pt>
                <c:pt idx="3">
                  <c:v>18</c:v>
                </c:pt>
                <c:pt idx="4">
                  <c:v>17</c:v>
                </c:pt>
                <c:pt idx="5">
                  <c:v>14</c:v>
                </c:pt>
                <c:pt idx="6">
                  <c:v>8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1-4858-B535-962249905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376816"/>
        <c:axId val="229382256"/>
      </c:barChart>
      <c:lineChart>
        <c:grouping val="standard"/>
        <c:varyColors val="0"/>
        <c:ser>
          <c:idx val="1"/>
          <c:order val="1"/>
          <c:tx>
            <c:v>Ideal Progress</c:v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none"/>
          </c:marker>
          <c:val>
            <c:numRef>
              <c:f>'Sprint 1'!$H$18:$AF$18</c:f>
              <c:numCache>
                <c:formatCode>General</c:formatCode>
                <c:ptCount val="25"/>
                <c:pt idx="0">
                  <c:v>32</c:v>
                </c:pt>
                <c:pt idx="1">
                  <c:v>28</c:v>
                </c:pt>
                <c:pt idx="2">
                  <c:v>24</c:v>
                </c:pt>
                <c:pt idx="3">
                  <c:v>20</c:v>
                </c:pt>
                <c:pt idx="4">
                  <c:v>16</c:v>
                </c:pt>
                <c:pt idx="5">
                  <c:v>12</c:v>
                </c:pt>
                <c:pt idx="6">
                  <c:v>8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91-4858-B535-962249905AC7}"/>
            </c:ext>
          </c:extLst>
        </c:ser>
        <c:ser>
          <c:idx val="2"/>
          <c:order val="2"/>
          <c:tx>
            <c:v>Current Trend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'Sprint 1'!$H$19:$AF$19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91-4858-B535-962249905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376816"/>
        <c:axId val="229382256"/>
      </c:lineChart>
      <c:catAx>
        <c:axId val="229376816"/>
        <c:scaling>
          <c:orientation val="minMax"/>
        </c:scaling>
        <c:delete val="1"/>
        <c:axPos val="b"/>
        <c:majorTickMark val="out"/>
        <c:minorTickMark val="none"/>
        <c:tickLblPos val="nextTo"/>
        <c:crossAx val="229382256"/>
        <c:crosses val="autoZero"/>
        <c:auto val="1"/>
        <c:lblAlgn val="ctr"/>
        <c:lblOffset val="100"/>
        <c:noMultiLvlLbl val="0"/>
      </c:catAx>
      <c:valAx>
        <c:axId val="22938225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2"/>
              <c:y val="0.13970665431526941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A"/>
          </a:p>
        </c:txPr>
        <c:crossAx val="229376816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8.4477560139693281E-3"/>
          <c:y val="6.6176470588235295E-2"/>
          <c:w val="0.11404438081603439"/>
          <c:h val="0.426472132159950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A"/>
        </a:p>
      </c:txPr>
    </c:legend>
    <c:plotVisOnly val="0"/>
    <c:dispBlanksAs val="gap"/>
    <c:showDLblsOverMax val="1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7845828933474131"/>
          <c:y val="8.8235610910252865E-2"/>
          <c:w val="0.81731784582893352"/>
          <c:h val="0.8308853360715478"/>
        </c:manualLayout>
      </c:layout>
      <c:barChart>
        <c:barDir val="col"/>
        <c:grouping val="clustered"/>
        <c:varyColors val="0"/>
        <c:ser>
          <c:idx val="0"/>
          <c:order val="0"/>
          <c:tx>
            <c:v>Daily Progress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'Sprint 2'!$H$17:$AF$17</c:f>
              <c:numCache>
                <c:formatCode>General</c:formatCode>
                <c:ptCount val="25"/>
                <c:pt idx="0">
                  <c:v>32</c:v>
                </c:pt>
                <c:pt idx="1">
                  <c:v>32</c:v>
                </c:pt>
                <c:pt idx="2">
                  <c:v>28</c:v>
                </c:pt>
                <c:pt idx="3">
                  <c:v>20</c:v>
                </c:pt>
                <c:pt idx="4">
                  <c:v>13</c:v>
                </c:pt>
                <c:pt idx="5">
                  <c:v>12</c:v>
                </c:pt>
                <c:pt idx="6">
                  <c:v>4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7-47B0-9D5A-C5FCC92C0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379536"/>
        <c:axId val="229383888"/>
      </c:barChart>
      <c:lineChart>
        <c:grouping val="standard"/>
        <c:varyColors val="0"/>
        <c:ser>
          <c:idx val="1"/>
          <c:order val="1"/>
          <c:tx>
            <c:v>Ideal Progress</c:v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none"/>
          </c:marker>
          <c:val>
            <c:numRef>
              <c:f>'Sprint 2'!$H$18:$AF$18</c:f>
              <c:numCache>
                <c:formatCode>General</c:formatCode>
                <c:ptCount val="25"/>
                <c:pt idx="0">
                  <c:v>32</c:v>
                </c:pt>
                <c:pt idx="1">
                  <c:v>28</c:v>
                </c:pt>
                <c:pt idx="2">
                  <c:v>24</c:v>
                </c:pt>
                <c:pt idx="3">
                  <c:v>20</c:v>
                </c:pt>
                <c:pt idx="4">
                  <c:v>16</c:v>
                </c:pt>
                <c:pt idx="5">
                  <c:v>12</c:v>
                </c:pt>
                <c:pt idx="6">
                  <c:v>8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57-47B0-9D5A-C5FCC92C0D29}"/>
            </c:ext>
          </c:extLst>
        </c:ser>
        <c:ser>
          <c:idx val="2"/>
          <c:order val="2"/>
          <c:tx>
            <c:v>Current Trend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'Sprint 2'!$H$19:$AF$19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57-47B0-9D5A-C5FCC92C0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379536"/>
        <c:axId val="229383888"/>
      </c:lineChart>
      <c:catAx>
        <c:axId val="229379536"/>
        <c:scaling>
          <c:orientation val="minMax"/>
        </c:scaling>
        <c:delete val="1"/>
        <c:axPos val="b"/>
        <c:majorTickMark val="out"/>
        <c:minorTickMark val="none"/>
        <c:tickLblPos val="nextTo"/>
        <c:crossAx val="229383888"/>
        <c:crosses val="autoZero"/>
        <c:auto val="1"/>
        <c:lblAlgn val="ctr"/>
        <c:lblOffset val="100"/>
        <c:noMultiLvlLbl val="0"/>
      </c:catAx>
      <c:valAx>
        <c:axId val="22938388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2"/>
              <c:y val="0.13970665431526941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A"/>
          </a:p>
        </c:txPr>
        <c:crossAx val="229379536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8.4477560139693281E-3"/>
          <c:y val="6.6176470588235295E-2"/>
          <c:w val="0.11404438081603439"/>
          <c:h val="0.426472132159950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A"/>
        </a:p>
      </c:txPr>
    </c:legend>
    <c:plotVisOnly val="0"/>
    <c:dispBlanksAs val="gap"/>
    <c:showDLblsOverMax val="1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7845828933474131"/>
          <c:y val="8.8235610910252865E-2"/>
          <c:w val="0.81731784582893352"/>
          <c:h val="0.8308853360715478"/>
        </c:manualLayout>
      </c:layout>
      <c:barChart>
        <c:barDir val="col"/>
        <c:grouping val="clustered"/>
        <c:varyColors val="0"/>
        <c:ser>
          <c:idx val="0"/>
          <c:order val="0"/>
          <c:tx>
            <c:v>Daily Progress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'[1]Plantilla Sprint'!$H$17:$AF$17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7-442B-B389-81DE42EE8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381712"/>
        <c:axId val="229380080"/>
      </c:barChart>
      <c:lineChart>
        <c:grouping val="standard"/>
        <c:varyColors val="0"/>
        <c:ser>
          <c:idx val="1"/>
          <c:order val="1"/>
          <c:tx>
            <c:v>Ideal Progress</c:v>
          </c:tx>
          <c:spPr>
            <a:ln w="12700">
              <a:solidFill>
                <a:srgbClr val="969696"/>
              </a:solidFill>
              <a:prstDash val="solid"/>
            </a:ln>
          </c:spPr>
          <c:marker>
            <c:symbol val="none"/>
          </c:marker>
          <c:val>
            <c:numRef>
              <c:f>'[1]Plantilla Sprint'!$H$18:$AF$18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57-442B-B389-81DE42EE89FB}"/>
            </c:ext>
          </c:extLst>
        </c:ser>
        <c:ser>
          <c:idx val="2"/>
          <c:order val="2"/>
          <c:tx>
            <c:v>Current Trend</c:v>
          </c:tx>
          <c:spPr>
            <a:ln w="3175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'[1]Plantilla Sprint'!$H$19:$AF$19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57-442B-B389-81DE42EE8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381712"/>
        <c:axId val="229380080"/>
      </c:lineChart>
      <c:catAx>
        <c:axId val="229381712"/>
        <c:scaling>
          <c:orientation val="minMax"/>
        </c:scaling>
        <c:delete val="1"/>
        <c:axPos val="b"/>
        <c:majorTickMark val="out"/>
        <c:minorTickMark val="none"/>
        <c:tickLblPos val="nextTo"/>
        <c:crossAx val="229380080"/>
        <c:crosses val="autoZero"/>
        <c:auto val="1"/>
        <c:lblAlgn val="ctr"/>
        <c:lblOffset val="100"/>
        <c:noMultiLvlLbl val="0"/>
      </c:catAx>
      <c:valAx>
        <c:axId val="22938008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Work Remaining (h)</a:t>
                </a:r>
              </a:p>
            </c:rich>
          </c:tx>
          <c:layout>
            <c:manualLayout>
              <c:xMode val="edge"/>
              <c:yMode val="edge"/>
              <c:x val="0.1393875404004252"/>
              <c:y val="0.13970665431526941"/>
            </c:manualLayout>
          </c:layout>
          <c:overlay val="0"/>
          <c:spPr>
            <a:noFill/>
            <a:ln w="25400"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A"/>
          </a:p>
        </c:txPr>
        <c:crossAx val="229381712"/>
        <c:crosses val="autoZero"/>
        <c:crossBetween val="between"/>
      </c:valAx>
    </c:plotArea>
    <c:legend>
      <c:legendPos val="l"/>
      <c:layout>
        <c:manualLayout>
          <c:xMode val="edge"/>
          <c:yMode val="edge"/>
          <c:x val="8.4477560139693281E-3"/>
          <c:y val="6.6176470588235295E-2"/>
          <c:w val="0.11404438081603439"/>
          <c:h val="0.426472132159950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A"/>
        </a:p>
      </c:txPr>
    </c:legend>
    <c:plotVisOnly val="0"/>
    <c:dispBlanksAs val="gap"/>
    <c:showDLblsOverMax val="1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7</xdr:row>
      <xdr:rowOff>38100</xdr:rowOff>
    </xdr:from>
    <xdr:to>
      <xdr:col>32</xdr:col>
      <xdr:colOff>47625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7</xdr:row>
      <xdr:rowOff>38100</xdr:rowOff>
    </xdr:from>
    <xdr:to>
      <xdr:col>32</xdr:col>
      <xdr:colOff>47625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485775</xdr:colOff>
      <xdr:row>7</xdr:row>
      <xdr:rowOff>38100</xdr:rowOff>
    </xdr:from>
    <xdr:to>
      <xdr:col>32</xdr:col>
      <xdr:colOff>47625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lantilla%20Sprin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illa Sprint"/>
    </sheetNames>
    <definedNames>
      <definedName name="DoneDays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1:AF71"/>
  <sheetViews>
    <sheetView tabSelected="1" topLeftCell="A7" workbookViewId="0">
      <selection activeCell="D3" sqref="D3:H3"/>
    </sheetView>
  </sheetViews>
  <sheetFormatPr defaultColWidth="9.109375" defaultRowHeight="13.2" x14ac:dyDescent="0.25"/>
  <cols>
    <col min="1" max="1" width="3.33203125" customWidth="1"/>
    <col min="2" max="2" width="8.21875" bestFit="1" customWidth="1"/>
    <col min="3" max="3" width="65.109375" bestFit="1" customWidth="1"/>
    <col min="4" max="4" width="10.6640625" style="1" customWidth="1"/>
    <col min="5" max="5" width="29" bestFit="1" customWidth="1"/>
    <col min="6" max="6" width="10.88671875" customWidth="1"/>
    <col min="7" max="7" width="9.5546875" style="1" customWidth="1"/>
    <col min="8" max="32" width="4.44140625" style="1" customWidth="1"/>
  </cols>
  <sheetData>
    <row r="1" spans="2:32" ht="13.5" customHeight="1" thickBot="1" x14ac:dyDescent="0.3"/>
    <row r="2" spans="2:32" ht="10.5" customHeight="1" x14ac:dyDescent="0.25">
      <c r="B2" s="12"/>
      <c r="C2" s="13"/>
      <c r="D2" s="14"/>
      <c r="E2" s="15"/>
      <c r="F2" s="15"/>
      <c r="G2" s="15"/>
      <c r="H2" s="15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4"/>
      <c r="W2" s="15"/>
      <c r="X2" s="15"/>
      <c r="Y2" s="15"/>
      <c r="Z2" s="15"/>
      <c r="AA2" s="15"/>
      <c r="AB2" s="15"/>
      <c r="AC2" s="15"/>
      <c r="AD2" s="15"/>
      <c r="AE2" s="15"/>
      <c r="AF2" s="16"/>
    </row>
    <row r="3" spans="2:32" ht="15" customHeight="1" x14ac:dyDescent="0.25">
      <c r="B3" s="17"/>
      <c r="C3" s="10" t="s">
        <v>0</v>
      </c>
      <c r="D3" s="29" t="s">
        <v>1</v>
      </c>
      <c r="E3" s="30"/>
      <c r="F3" s="30"/>
      <c r="G3" s="30"/>
      <c r="H3" s="31"/>
      <c r="I3" s="9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9"/>
      <c r="W3" s="11"/>
      <c r="X3" s="11"/>
      <c r="Y3" s="11"/>
      <c r="Z3" s="11"/>
      <c r="AA3" s="11"/>
      <c r="AB3" s="11"/>
      <c r="AC3" s="11"/>
      <c r="AD3" s="11"/>
      <c r="AE3" s="11"/>
      <c r="AF3" s="18"/>
    </row>
    <row r="4" spans="2:32" ht="15" customHeight="1" x14ac:dyDescent="0.25">
      <c r="B4" s="17"/>
      <c r="C4" s="10" t="s">
        <v>2</v>
      </c>
      <c r="D4" s="29" t="s">
        <v>3</v>
      </c>
      <c r="E4" s="30"/>
      <c r="F4" s="30"/>
      <c r="G4" s="30"/>
      <c r="H4" s="31"/>
      <c r="I4" s="9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9"/>
      <c r="W4" s="11"/>
      <c r="X4" s="11"/>
      <c r="Y4" s="11"/>
      <c r="Z4" s="11"/>
      <c r="AA4" s="11"/>
      <c r="AB4" s="11"/>
      <c r="AC4" s="11"/>
      <c r="AD4" s="11"/>
      <c r="AE4" s="11"/>
      <c r="AF4" s="18"/>
    </row>
    <row r="5" spans="2:32" ht="15" customHeight="1" x14ac:dyDescent="0.25">
      <c r="B5" s="17"/>
      <c r="C5" s="10" t="s">
        <v>4</v>
      </c>
      <c r="D5" s="29" t="s">
        <v>5</v>
      </c>
      <c r="E5" s="30"/>
      <c r="F5" s="30"/>
      <c r="G5" s="30"/>
      <c r="H5" s="31"/>
      <c r="I5" s="9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9"/>
      <c r="W5" s="11"/>
      <c r="X5" s="11"/>
      <c r="Y5" s="11"/>
      <c r="Z5" s="11"/>
      <c r="AA5" s="11"/>
      <c r="AB5" s="11"/>
      <c r="AC5" s="11"/>
      <c r="AD5" s="11"/>
      <c r="AE5" s="11"/>
      <c r="AF5" s="18"/>
    </row>
    <row r="6" spans="2:32" ht="15" customHeight="1" thickBot="1" x14ac:dyDescent="0.3">
      <c r="B6" s="19"/>
      <c r="C6" s="20"/>
      <c r="D6" s="21"/>
      <c r="E6" s="21"/>
      <c r="F6" s="21"/>
      <c r="G6" s="21"/>
      <c r="H6" s="21"/>
      <c r="I6" s="2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2"/>
      <c r="W6" s="23"/>
      <c r="X6" s="23"/>
      <c r="Y6" s="23"/>
      <c r="Z6" s="23"/>
      <c r="AA6" s="23"/>
      <c r="AB6" s="23"/>
      <c r="AC6" s="23"/>
      <c r="AD6" s="23"/>
      <c r="AE6" s="23"/>
      <c r="AF6" s="24"/>
    </row>
    <row r="8" spans="2:32" ht="18" customHeight="1" x14ac:dyDescent="0.3">
      <c r="C8" s="6">
        <v>1</v>
      </c>
      <c r="D8" s="7"/>
    </row>
    <row r="16" spans="2:32" x14ac:dyDescent="0.25">
      <c r="B16" s="4"/>
      <c r="C16" s="4" t="s">
        <v>6</v>
      </c>
      <c r="D16" s="1">
        <v>8</v>
      </c>
      <c r="E16" s="4"/>
      <c r="F16" s="2"/>
      <c r="G16" s="4" t="s">
        <v>7</v>
      </c>
      <c r="H16" s="4" t="s">
        <v>8</v>
      </c>
      <c r="I16" s="4"/>
      <c r="J16" s="4"/>
      <c r="K16" s="4"/>
      <c r="L16" s="4"/>
      <c r="M16" s="4"/>
      <c r="N16" s="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2:32" x14ac:dyDescent="0.25">
      <c r="B17" s="4"/>
      <c r="C17" s="4" t="s">
        <v>9</v>
      </c>
      <c r="D17" s="1">
        <v>10</v>
      </c>
      <c r="E17" s="4" t="s">
        <v>10</v>
      </c>
      <c r="F17" s="4" t="s">
        <v>11</v>
      </c>
      <c r="G17" s="3">
        <f ca="1">SUM(OFFSET(G21,1,0,TaskRows,1))</f>
        <v>32</v>
      </c>
      <c r="H17" s="3">
        <f ca="1">IF(AND(SUM(OFFSET(H21,1,0,TaskRows,1))=0),0,SUM(OFFSET(H21,1,0,TaskRows,1)))</f>
        <v>32</v>
      </c>
      <c r="I17" s="3">
        <f t="shared" ref="I17:AF17" ca="1" si="0">IF(AND(SUM(OFFSET(I21,1,0,TaskRows,1))=0),"",SUM(OFFSET(I21,1,0,TaskRows,1)))</f>
        <v>32</v>
      </c>
      <c r="J17" s="3">
        <f t="shared" ca="1" si="0"/>
        <v>24</v>
      </c>
      <c r="K17" s="3">
        <f t="shared" ca="1" si="0"/>
        <v>18</v>
      </c>
      <c r="L17" s="3">
        <f t="shared" ca="1" si="0"/>
        <v>17</v>
      </c>
      <c r="M17" s="3">
        <f t="shared" ca="1" si="0"/>
        <v>14</v>
      </c>
      <c r="N17" s="3">
        <f t="shared" ca="1" si="0"/>
        <v>8</v>
      </c>
      <c r="O17" s="3" t="str">
        <f t="shared" ca="1" si="0"/>
        <v/>
      </c>
      <c r="P17" s="3">
        <f t="shared" ca="1" si="0"/>
        <v>6</v>
      </c>
      <c r="Q17" s="3" t="str">
        <f t="shared" ca="1" si="0"/>
        <v/>
      </c>
      <c r="R17" s="3" t="str">
        <f t="shared" ca="1" si="0"/>
        <v/>
      </c>
      <c r="S17" s="3" t="str">
        <f t="shared" ca="1" si="0"/>
        <v/>
      </c>
      <c r="T17" s="3" t="str">
        <f t="shared" ca="1" si="0"/>
        <v/>
      </c>
      <c r="U17" s="3" t="str">
        <f t="shared" ca="1" si="0"/>
        <v/>
      </c>
      <c r="V17" s="3" t="str">
        <f t="shared" ca="1" si="0"/>
        <v/>
      </c>
      <c r="W17" s="3" t="str">
        <f t="shared" ca="1" si="0"/>
        <v/>
      </c>
      <c r="X17" s="3" t="str">
        <f t="shared" ca="1" si="0"/>
        <v/>
      </c>
      <c r="Y17" s="3" t="str">
        <f t="shared" ca="1" si="0"/>
        <v/>
      </c>
      <c r="Z17" s="3" t="str">
        <f t="shared" ca="1" si="0"/>
        <v/>
      </c>
      <c r="AA17" s="3" t="str">
        <f t="shared" ca="1" si="0"/>
        <v/>
      </c>
      <c r="AB17" s="3" t="str">
        <f t="shared" ca="1" si="0"/>
        <v/>
      </c>
      <c r="AC17" s="3" t="str">
        <f t="shared" ca="1" si="0"/>
        <v/>
      </c>
      <c r="AD17" s="3" t="str">
        <f t="shared" ca="1" si="0"/>
        <v/>
      </c>
      <c r="AE17" s="3" t="str">
        <f t="shared" ca="1" si="0"/>
        <v/>
      </c>
      <c r="AF17" s="3" t="str">
        <f t="shared" ca="1" si="0"/>
        <v/>
      </c>
    </row>
    <row r="18" spans="2:32" hidden="1" x14ac:dyDescent="0.25">
      <c r="C18" t="s">
        <v>12</v>
      </c>
      <c r="D18" s="1">
        <f>IF(COUNTA(C22:C249)=0,1,COUNTA(C22:C249))</f>
        <v>10</v>
      </c>
      <c r="E18" t="s">
        <v>13</v>
      </c>
      <c r="F18" s="1">
        <f ca="1">IF(COUNTIF(H17:AF17,"&gt;0")=0,1,COUNTIF(H17:AF17,"&gt;0"))</f>
        <v>8</v>
      </c>
      <c r="H18" s="1">
        <f ca="1">IF(H21="","",$G17-$G17/($D16-1)*(H21-1))</f>
        <v>32</v>
      </c>
      <c r="I18" s="1">
        <f t="shared" ref="I18:AF18" ca="1" si="1">IF(I21="","",TotalEffort-TotalEffort/(ImplementationDays)*(I21-1))</f>
        <v>28</v>
      </c>
      <c r="J18" s="1">
        <f t="shared" ca="1" si="1"/>
        <v>24</v>
      </c>
      <c r="K18" s="1">
        <f t="shared" ca="1" si="1"/>
        <v>20</v>
      </c>
      <c r="L18" s="1">
        <f t="shared" ca="1" si="1"/>
        <v>16</v>
      </c>
      <c r="M18" s="1">
        <f t="shared" ca="1" si="1"/>
        <v>12</v>
      </c>
      <c r="N18" s="1">
        <f t="shared" ca="1" si="1"/>
        <v>8</v>
      </c>
      <c r="O18" s="1">
        <f t="shared" ca="1" si="1"/>
        <v>4</v>
      </c>
      <c r="P18" s="1" t="str">
        <f t="shared" si="1"/>
        <v/>
      </c>
      <c r="Q18" s="1" t="str">
        <f t="shared" si="1"/>
        <v/>
      </c>
      <c r="R18" s="1" t="str">
        <f t="shared" si="1"/>
        <v/>
      </c>
      <c r="S18" s="1" t="str">
        <f t="shared" si="1"/>
        <v/>
      </c>
      <c r="T18" s="1" t="str">
        <f t="shared" si="1"/>
        <v/>
      </c>
      <c r="U18" s="1" t="str">
        <f t="shared" si="1"/>
        <v/>
      </c>
      <c r="V18" s="1" t="str">
        <f t="shared" si="1"/>
        <v/>
      </c>
      <c r="W18" s="1" t="str">
        <f t="shared" si="1"/>
        <v/>
      </c>
      <c r="X18" s="1" t="str">
        <f t="shared" si="1"/>
        <v/>
      </c>
      <c r="Y18" s="1" t="str">
        <f t="shared" si="1"/>
        <v/>
      </c>
      <c r="Z18" s="1" t="str">
        <f t="shared" si="1"/>
        <v/>
      </c>
      <c r="AA18" s="1" t="str">
        <f t="shared" si="1"/>
        <v/>
      </c>
      <c r="AB18" s="1" t="str">
        <f t="shared" si="1"/>
        <v/>
      </c>
      <c r="AC18" s="1" t="str">
        <f t="shared" si="1"/>
        <v/>
      </c>
      <c r="AD18" s="1" t="str">
        <f t="shared" si="1"/>
        <v/>
      </c>
      <c r="AE18" s="1" t="str">
        <f t="shared" si="1"/>
        <v/>
      </c>
      <c r="AF18" s="1" t="str">
        <f t="shared" si="1"/>
        <v/>
      </c>
    </row>
    <row r="19" spans="2:32" hidden="1" x14ac:dyDescent="0.25">
      <c r="C19" s="8" t="s">
        <v>14</v>
      </c>
      <c r="E19" t="s">
        <v>15</v>
      </c>
      <c r="F19" s="1"/>
      <c r="H19" s="1" t="e">
        <f t="shared" ref="H19:AF19" ca="1" si="2">IF(TREND(OFFSET($H17,0,DoneDays-TrendDays,1,TrendDays),OFFSET($H20,0,DoneDays-TrendDays,1,TrendDays),H20)&lt;0,"",TREND(OFFSET($H17,0,DoneDays-TrendDays,1,TrendDays),OFFSET($H20,0,DoneDays-TrendDays,1,TrendDays),H20))</f>
        <v>#VALUE!</v>
      </c>
      <c r="I19" s="1" t="e">
        <f t="shared" ca="1" si="2"/>
        <v>#VALUE!</v>
      </c>
      <c r="J19" s="1" t="e">
        <f t="shared" ca="1" si="2"/>
        <v>#VALUE!</v>
      </c>
      <c r="K19" s="1" t="e">
        <f t="shared" ca="1" si="2"/>
        <v>#VALUE!</v>
      </c>
      <c r="L19" s="1" t="e">
        <f t="shared" ca="1" si="2"/>
        <v>#VALUE!</v>
      </c>
      <c r="M19" s="1" t="e">
        <f t="shared" ca="1" si="2"/>
        <v>#VALUE!</v>
      </c>
      <c r="N19" s="1" t="e">
        <f t="shared" ca="1" si="2"/>
        <v>#VALUE!</v>
      </c>
      <c r="O19" s="1" t="e">
        <f t="shared" ca="1" si="2"/>
        <v>#VALUE!</v>
      </c>
      <c r="P19" s="1" t="e">
        <f t="shared" ca="1" si="2"/>
        <v>#VALUE!</v>
      </c>
      <c r="Q19" s="1" t="e">
        <f t="shared" ca="1" si="2"/>
        <v>#VALUE!</v>
      </c>
      <c r="R19" s="1" t="e">
        <f t="shared" ca="1" si="2"/>
        <v>#VALUE!</v>
      </c>
      <c r="S19" s="1" t="e">
        <f t="shared" ca="1" si="2"/>
        <v>#VALUE!</v>
      </c>
      <c r="T19" s="1" t="e">
        <f t="shared" ca="1" si="2"/>
        <v>#VALUE!</v>
      </c>
      <c r="U19" s="1" t="e">
        <f t="shared" ca="1" si="2"/>
        <v>#VALUE!</v>
      </c>
      <c r="V19" s="1" t="e">
        <f t="shared" ca="1" si="2"/>
        <v>#VALUE!</v>
      </c>
      <c r="W19" s="1" t="e">
        <f t="shared" ca="1" si="2"/>
        <v>#VALUE!</v>
      </c>
      <c r="X19" s="1" t="e">
        <f t="shared" ca="1" si="2"/>
        <v>#VALUE!</v>
      </c>
      <c r="Y19" s="1" t="e">
        <f t="shared" ca="1" si="2"/>
        <v>#VALUE!</v>
      </c>
      <c r="Z19" s="1" t="e">
        <f t="shared" ca="1" si="2"/>
        <v>#VALUE!</v>
      </c>
      <c r="AA19" s="1" t="e">
        <f t="shared" ca="1" si="2"/>
        <v>#VALUE!</v>
      </c>
      <c r="AB19" s="1" t="e">
        <f t="shared" ca="1" si="2"/>
        <v>#VALUE!</v>
      </c>
      <c r="AC19" s="1" t="e">
        <f t="shared" ca="1" si="2"/>
        <v>#VALUE!</v>
      </c>
      <c r="AD19" s="1" t="e">
        <f t="shared" ca="1" si="2"/>
        <v>#VALUE!</v>
      </c>
      <c r="AE19" s="1" t="e">
        <f t="shared" ca="1" si="2"/>
        <v>#VALUE!</v>
      </c>
      <c r="AF19" s="1" t="e">
        <f t="shared" ca="1" si="2"/>
        <v>#VALUE!</v>
      </c>
    </row>
    <row r="20" spans="2:32" hidden="1" x14ac:dyDescent="0.25">
      <c r="C20" s="8" t="s">
        <v>16</v>
      </c>
      <c r="E20" t="s">
        <v>17</v>
      </c>
      <c r="F20" s="1">
        <f ca="1">IF(DoneDays&gt;D17,D17,DoneDays)</f>
        <v>8</v>
      </c>
      <c r="H20" s="1">
        <f ca="1">IF(DoneDays&gt;G20,G20+1,"")</f>
        <v>1</v>
      </c>
      <c r="I20" s="1">
        <v>2</v>
      </c>
      <c r="J20" s="1">
        <v>3</v>
      </c>
      <c r="K20" s="1">
        <v>4</v>
      </c>
      <c r="L20" s="1">
        <v>5</v>
      </c>
      <c r="M20" s="1">
        <v>6</v>
      </c>
      <c r="N20" s="1">
        <v>7</v>
      </c>
      <c r="O20" s="1">
        <v>8</v>
      </c>
      <c r="P20" s="1">
        <v>9</v>
      </c>
      <c r="Q20" s="1">
        <v>10</v>
      </c>
      <c r="R20" s="1">
        <v>11</v>
      </c>
      <c r="S20" s="1">
        <v>12</v>
      </c>
      <c r="T20" s="1">
        <v>13</v>
      </c>
      <c r="U20" s="1">
        <v>14</v>
      </c>
      <c r="V20" s="1">
        <v>15</v>
      </c>
      <c r="W20" s="1">
        <v>16</v>
      </c>
      <c r="X20" s="1">
        <v>17</v>
      </c>
      <c r="Y20" s="1">
        <v>18</v>
      </c>
      <c r="Z20" s="1">
        <v>19</v>
      </c>
      <c r="AA20" s="1">
        <v>20</v>
      </c>
      <c r="AB20" s="1">
        <v>21</v>
      </c>
      <c r="AC20" s="1">
        <v>22</v>
      </c>
      <c r="AD20" s="1">
        <v>23</v>
      </c>
      <c r="AE20" s="1">
        <v>24</v>
      </c>
      <c r="AF20" s="1">
        <v>25</v>
      </c>
    </row>
    <row r="21" spans="2:32" x14ac:dyDescent="0.25">
      <c r="B21" s="4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>
        <v>1</v>
      </c>
      <c r="I21" s="5">
        <f t="shared" ref="I21:AF21" si="3">IF($D$16&gt;H21,H21+1,"")</f>
        <v>2</v>
      </c>
      <c r="J21" s="5">
        <f t="shared" si="3"/>
        <v>3</v>
      </c>
      <c r="K21" s="5">
        <f t="shared" si="3"/>
        <v>4</v>
      </c>
      <c r="L21" s="5">
        <f t="shared" si="3"/>
        <v>5</v>
      </c>
      <c r="M21" s="5">
        <f t="shared" si="3"/>
        <v>6</v>
      </c>
      <c r="N21" s="5">
        <f t="shared" si="3"/>
        <v>7</v>
      </c>
      <c r="O21" s="5">
        <f t="shared" si="3"/>
        <v>8</v>
      </c>
      <c r="P21" s="5" t="str">
        <f t="shared" si="3"/>
        <v/>
      </c>
      <c r="Q21" s="5" t="str">
        <f t="shared" si="3"/>
        <v/>
      </c>
      <c r="R21" s="5" t="str">
        <f t="shared" si="3"/>
        <v/>
      </c>
      <c r="S21" s="5" t="str">
        <f t="shared" si="3"/>
        <v/>
      </c>
      <c r="T21" s="5" t="str">
        <f t="shared" si="3"/>
        <v/>
      </c>
      <c r="U21" s="5" t="str">
        <f t="shared" si="3"/>
        <v/>
      </c>
      <c r="V21" s="5" t="str">
        <f t="shared" si="3"/>
        <v/>
      </c>
      <c r="W21" s="5" t="str">
        <f t="shared" si="3"/>
        <v/>
      </c>
      <c r="X21" s="5" t="str">
        <f t="shared" si="3"/>
        <v/>
      </c>
      <c r="Y21" s="5" t="str">
        <f t="shared" si="3"/>
        <v/>
      </c>
      <c r="Z21" s="5" t="str">
        <f t="shared" si="3"/>
        <v/>
      </c>
      <c r="AA21" s="5" t="str">
        <f t="shared" si="3"/>
        <v/>
      </c>
      <c r="AB21" s="5" t="str">
        <f t="shared" si="3"/>
        <v/>
      </c>
      <c r="AC21" s="5" t="str">
        <f t="shared" si="3"/>
        <v/>
      </c>
      <c r="AD21" s="5" t="str">
        <f t="shared" si="3"/>
        <v/>
      </c>
      <c r="AE21" s="5" t="str">
        <f t="shared" si="3"/>
        <v/>
      </c>
      <c r="AF21" s="5" t="str">
        <f t="shared" si="3"/>
        <v/>
      </c>
    </row>
    <row r="22" spans="2:32" ht="13.8" x14ac:dyDescent="0.3">
      <c r="B22" t="s">
        <v>24</v>
      </c>
      <c r="C22" t="s">
        <v>25</v>
      </c>
      <c r="D22" s="1" t="s">
        <v>26</v>
      </c>
      <c r="E22" t="s">
        <v>27</v>
      </c>
      <c r="F22" s="28" t="s">
        <v>28</v>
      </c>
      <c r="G22" s="1">
        <v>2</v>
      </c>
      <c r="H22" s="1">
        <v>2</v>
      </c>
      <c r="I22" s="1">
        <v>2</v>
      </c>
      <c r="J22" s="1">
        <v>2</v>
      </c>
      <c r="K22" s="1">
        <v>1</v>
      </c>
      <c r="L22" s="1">
        <v>1</v>
      </c>
      <c r="M22" s="1">
        <v>1</v>
      </c>
      <c r="N22" s="1">
        <v>0</v>
      </c>
      <c r="O22" s="1">
        <v>0</v>
      </c>
      <c r="P22" s="1">
        <v>1</v>
      </c>
      <c r="Q22" s="1">
        <v>0</v>
      </c>
      <c r="AE22" s="1" t="str">
        <f t="shared" ref="AE22:AF41" si="4">IF(OR(AE$21="",$G22=""),"",AD22)</f>
        <v/>
      </c>
      <c r="AF22" s="1" t="str">
        <f t="shared" si="4"/>
        <v/>
      </c>
    </row>
    <row r="23" spans="2:32" ht="13.8" x14ac:dyDescent="0.3">
      <c r="B23" t="s">
        <v>29</v>
      </c>
      <c r="C23" t="s">
        <v>30</v>
      </c>
      <c r="D23" s="1" t="s">
        <v>26</v>
      </c>
      <c r="E23" t="s">
        <v>27</v>
      </c>
      <c r="F23" s="28" t="s">
        <v>28</v>
      </c>
      <c r="G23" s="1">
        <v>3</v>
      </c>
      <c r="H23" s="1">
        <v>3</v>
      </c>
      <c r="I23" s="1">
        <v>3</v>
      </c>
      <c r="J23" s="1">
        <v>2</v>
      </c>
      <c r="K23" s="1">
        <v>2</v>
      </c>
      <c r="L23" s="1">
        <v>2</v>
      </c>
      <c r="M23" s="1">
        <v>1</v>
      </c>
      <c r="N23" s="1">
        <v>1</v>
      </c>
      <c r="O23" s="1">
        <v>0</v>
      </c>
      <c r="P23" s="1">
        <v>2</v>
      </c>
      <c r="Q23" s="1">
        <v>0</v>
      </c>
      <c r="AE23" s="1" t="str">
        <f t="shared" si="4"/>
        <v/>
      </c>
      <c r="AF23" s="1" t="str">
        <f t="shared" si="4"/>
        <v/>
      </c>
    </row>
    <row r="24" spans="2:32" ht="13.8" x14ac:dyDescent="0.3">
      <c r="B24" t="s">
        <v>31</v>
      </c>
      <c r="C24" t="s">
        <v>32</v>
      </c>
      <c r="D24" s="1" t="s">
        <v>26</v>
      </c>
      <c r="E24" t="s">
        <v>27</v>
      </c>
      <c r="F24" s="28" t="s">
        <v>28</v>
      </c>
      <c r="G24" s="1">
        <v>3</v>
      </c>
      <c r="H24" s="1">
        <v>3</v>
      </c>
      <c r="I24" s="1">
        <v>3</v>
      </c>
      <c r="J24" s="1">
        <v>2</v>
      </c>
      <c r="K24" s="1">
        <v>2</v>
      </c>
      <c r="L24" s="1">
        <v>2</v>
      </c>
      <c r="M24" s="1">
        <v>1</v>
      </c>
      <c r="N24" s="1">
        <v>1</v>
      </c>
      <c r="O24" s="1">
        <v>0</v>
      </c>
      <c r="P24" s="1">
        <v>1</v>
      </c>
      <c r="Q24" s="1">
        <v>0</v>
      </c>
      <c r="AE24" s="1" t="str">
        <f t="shared" si="4"/>
        <v/>
      </c>
      <c r="AF24" s="1" t="str">
        <f t="shared" si="4"/>
        <v/>
      </c>
    </row>
    <row r="25" spans="2:32" ht="13.8" x14ac:dyDescent="0.3">
      <c r="B25" t="s">
        <v>33</v>
      </c>
      <c r="C25" t="s">
        <v>34</v>
      </c>
      <c r="D25" s="1" t="s">
        <v>35</v>
      </c>
      <c r="E25" t="s">
        <v>36</v>
      </c>
      <c r="F25" s="28" t="s">
        <v>28</v>
      </c>
      <c r="G25" s="1">
        <v>4</v>
      </c>
      <c r="H25" s="1">
        <v>4</v>
      </c>
      <c r="I25" s="1">
        <v>4</v>
      </c>
      <c r="J25" s="1">
        <v>3</v>
      </c>
      <c r="K25" s="1">
        <v>2</v>
      </c>
      <c r="L25" s="1">
        <v>2</v>
      </c>
      <c r="M25" s="1">
        <v>2</v>
      </c>
      <c r="N25" s="1">
        <v>1</v>
      </c>
      <c r="O25" s="1">
        <v>0</v>
      </c>
      <c r="P25" s="1">
        <v>2</v>
      </c>
      <c r="Q25" s="1">
        <v>0</v>
      </c>
      <c r="AE25" s="1" t="str">
        <f t="shared" si="4"/>
        <v/>
      </c>
      <c r="AF25" s="1" t="str">
        <f t="shared" si="4"/>
        <v/>
      </c>
    </row>
    <row r="26" spans="2:32" ht="13.8" x14ac:dyDescent="0.3">
      <c r="B26" t="s">
        <v>37</v>
      </c>
      <c r="C26" t="s">
        <v>38</v>
      </c>
      <c r="D26" t="s">
        <v>35</v>
      </c>
      <c r="E26" t="s">
        <v>36</v>
      </c>
      <c r="F26" s="28" t="s">
        <v>28</v>
      </c>
      <c r="G26">
        <v>4</v>
      </c>
      <c r="H26" s="1">
        <v>4</v>
      </c>
      <c r="I26">
        <v>4</v>
      </c>
      <c r="J26">
        <v>3</v>
      </c>
      <c r="K26">
        <v>2</v>
      </c>
      <c r="L26">
        <v>2</v>
      </c>
      <c r="M26">
        <v>2</v>
      </c>
      <c r="N26">
        <v>1</v>
      </c>
      <c r="O26">
        <v>0</v>
      </c>
      <c r="AE26" s="1" t="str">
        <f t="shared" si="4"/>
        <v/>
      </c>
      <c r="AF26" s="1" t="str">
        <f t="shared" si="4"/>
        <v/>
      </c>
    </row>
    <row r="27" spans="2:32" ht="13.8" x14ac:dyDescent="0.3">
      <c r="B27" t="s">
        <v>39</v>
      </c>
      <c r="C27" t="s">
        <v>40</v>
      </c>
      <c r="D27" t="s">
        <v>41</v>
      </c>
      <c r="E27" t="s">
        <v>42</v>
      </c>
      <c r="F27" s="28" t="s">
        <v>28</v>
      </c>
      <c r="G27">
        <v>4</v>
      </c>
      <c r="H27" s="1">
        <v>4</v>
      </c>
      <c r="I27">
        <v>4</v>
      </c>
      <c r="J27">
        <v>3</v>
      </c>
      <c r="K27">
        <v>2</v>
      </c>
      <c r="L27">
        <v>2</v>
      </c>
      <c r="M27">
        <v>2</v>
      </c>
      <c r="N27">
        <v>1</v>
      </c>
      <c r="O27">
        <v>0</v>
      </c>
      <c r="AE27" s="1" t="str">
        <f t="shared" si="4"/>
        <v/>
      </c>
      <c r="AF27" s="1" t="str">
        <f t="shared" si="4"/>
        <v/>
      </c>
    </row>
    <row r="28" spans="2:32" ht="13.8" x14ac:dyDescent="0.3">
      <c r="B28" t="s">
        <v>43</v>
      </c>
      <c r="C28" t="s">
        <v>44</v>
      </c>
      <c r="D28" t="s">
        <v>41</v>
      </c>
      <c r="E28" t="s">
        <v>42</v>
      </c>
      <c r="F28" s="28" t="s">
        <v>28</v>
      </c>
      <c r="G28">
        <v>4</v>
      </c>
      <c r="H28" s="1">
        <v>4</v>
      </c>
      <c r="I28">
        <v>4</v>
      </c>
      <c r="J28">
        <v>3</v>
      </c>
      <c r="K28">
        <v>2</v>
      </c>
      <c r="L28">
        <v>2</v>
      </c>
      <c r="M28">
        <v>2</v>
      </c>
      <c r="N28">
        <v>1</v>
      </c>
      <c r="O28">
        <v>0</v>
      </c>
      <c r="AE28" s="1" t="str">
        <f t="shared" si="4"/>
        <v/>
      </c>
      <c r="AF28" s="1" t="str">
        <f t="shared" si="4"/>
        <v/>
      </c>
    </row>
    <row r="29" spans="2:32" ht="13.8" x14ac:dyDescent="0.3">
      <c r="B29" t="s">
        <v>45</v>
      </c>
      <c r="C29" t="s">
        <v>46</v>
      </c>
      <c r="D29" t="s">
        <v>47</v>
      </c>
      <c r="E29" t="s">
        <v>48</v>
      </c>
      <c r="F29" s="28" t="s">
        <v>28</v>
      </c>
      <c r="G29">
        <v>3</v>
      </c>
      <c r="H29" s="1">
        <v>3</v>
      </c>
      <c r="I29">
        <v>3</v>
      </c>
      <c r="J29">
        <v>2</v>
      </c>
      <c r="K29">
        <v>2</v>
      </c>
      <c r="L29">
        <v>2</v>
      </c>
      <c r="M29">
        <v>1</v>
      </c>
      <c r="N29">
        <v>1</v>
      </c>
      <c r="O29">
        <v>0</v>
      </c>
      <c r="AE29" s="1" t="str">
        <f t="shared" si="4"/>
        <v/>
      </c>
      <c r="AF29" s="1" t="str">
        <f t="shared" si="4"/>
        <v/>
      </c>
    </row>
    <row r="30" spans="2:32" ht="13.8" x14ac:dyDescent="0.3">
      <c r="B30" t="s">
        <v>49</v>
      </c>
      <c r="C30" t="s">
        <v>50</v>
      </c>
      <c r="D30" t="s">
        <v>47</v>
      </c>
      <c r="E30" t="s">
        <v>48</v>
      </c>
      <c r="F30" s="28" t="s">
        <v>28</v>
      </c>
      <c r="G30">
        <v>4</v>
      </c>
      <c r="H30" s="1">
        <v>4</v>
      </c>
      <c r="I30">
        <v>4</v>
      </c>
      <c r="J30">
        <v>3</v>
      </c>
      <c r="K30">
        <v>2</v>
      </c>
      <c r="L30">
        <v>2</v>
      </c>
      <c r="M30">
        <v>2</v>
      </c>
      <c r="N30">
        <v>1</v>
      </c>
      <c r="O30">
        <v>0</v>
      </c>
      <c r="AE30" s="1" t="str">
        <f t="shared" si="4"/>
        <v/>
      </c>
      <c r="AF30" s="1" t="str">
        <f t="shared" si="4"/>
        <v/>
      </c>
    </row>
    <row r="31" spans="2:32" ht="13.8" x14ac:dyDescent="0.3">
      <c r="B31" t="s">
        <v>51</v>
      </c>
      <c r="C31" t="s">
        <v>52</v>
      </c>
      <c r="D31" t="s">
        <v>47</v>
      </c>
      <c r="E31" t="s">
        <v>48</v>
      </c>
      <c r="F31" s="28" t="s">
        <v>28</v>
      </c>
      <c r="G31">
        <v>1</v>
      </c>
      <c r="H31" s="1">
        <v>1</v>
      </c>
      <c r="I31">
        <v>1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AE31" s="1" t="str">
        <f t="shared" si="4"/>
        <v/>
      </c>
      <c r="AF31" s="1" t="str">
        <f t="shared" si="4"/>
        <v/>
      </c>
    </row>
    <row r="32" spans="2:32" x14ac:dyDescent="0.25">
      <c r="F32" t="str">
        <f t="shared" ref="F32:F63" si="5">IF(C32&lt;&gt;"","Planned","")</f>
        <v/>
      </c>
      <c r="H32" s="1" t="str">
        <f t="shared" ref="H32:H66" si="6">IF(OR(H$21="",$G32=""),"",G32)</f>
        <v/>
      </c>
      <c r="AE32" s="1" t="str">
        <f t="shared" si="4"/>
        <v/>
      </c>
      <c r="AF32" s="1" t="str">
        <f t="shared" si="4"/>
        <v/>
      </c>
    </row>
    <row r="33" spans="6:32" x14ac:dyDescent="0.25">
      <c r="F33" t="str">
        <f t="shared" si="5"/>
        <v/>
      </c>
      <c r="H33" s="1" t="str">
        <f t="shared" si="6"/>
        <v/>
      </c>
      <c r="AE33" s="1" t="str">
        <f t="shared" si="4"/>
        <v/>
      </c>
      <c r="AF33" s="1" t="str">
        <f t="shared" si="4"/>
        <v/>
      </c>
    </row>
    <row r="34" spans="6:32" x14ac:dyDescent="0.25">
      <c r="F34" t="str">
        <f t="shared" si="5"/>
        <v/>
      </c>
      <c r="H34" s="1" t="str">
        <f t="shared" si="6"/>
        <v/>
      </c>
      <c r="AE34" s="1" t="str">
        <f t="shared" si="4"/>
        <v/>
      </c>
      <c r="AF34" s="1" t="str">
        <f t="shared" si="4"/>
        <v/>
      </c>
    </row>
    <row r="35" spans="6:32" x14ac:dyDescent="0.25">
      <c r="F35" t="str">
        <f t="shared" si="5"/>
        <v/>
      </c>
      <c r="H35" s="1" t="str">
        <f t="shared" si="6"/>
        <v/>
      </c>
      <c r="AE35" s="1" t="str">
        <f t="shared" si="4"/>
        <v/>
      </c>
      <c r="AF35" s="1" t="str">
        <f t="shared" si="4"/>
        <v/>
      </c>
    </row>
    <row r="36" spans="6:32" x14ac:dyDescent="0.25">
      <c r="F36" t="str">
        <f t="shared" si="5"/>
        <v/>
      </c>
      <c r="H36" s="1" t="str">
        <f t="shared" si="6"/>
        <v/>
      </c>
      <c r="AE36" s="1" t="str">
        <f t="shared" si="4"/>
        <v/>
      </c>
      <c r="AF36" s="1" t="str">
        <f t="shared" si="4"/>
        <v/>
      </c>
    </row>
    <row r="37" spans="6:32" x14ac:dyDescent="0.25">
      <c r="F37" t="str">
        <f t="shared" si="5"/>
        <v/>
      </c>
      <c r="H37" s="1" t="str">
        <f t="shared" si="6"/>
        <v/>
      </c>
      <c r="AE37" s="1" t="str">
        <f t="shared" si="4"/>
        <v/>
      </c>
      <c r="AF37" s="1" t="str">
        <f t="shared" si="4"/>
        <v/>
      </c>
    </row>
    <row r="38" spans="6:32" x14ac:dyDescent="0.25">
      <c r="F38" t="str">
        <f t="shared" si="5"/>
        <v/>
      </c>
      <c r="H38" s="1" t="str">
        <f t="shared" si="6"/>
        <v/>
      </c>
      <c r="AE38" s="1" t="str">
        <f t="shared" si="4"/>
        <v/>
      </c>
      <c r="AF38" s="1" t="str">
        <f t="shared" si="4"/>
        <v/>
      </c>
    </row>
    <row r="39" spans="6:32" x14ac:dyDescent="0.25">
      <c r="F39" t="str">
        <f t="shared" si="5"/>
        <v/>
      </c>
      <c r="H39" s="1" t="str">
        <f t="shared" si="6"/>
        <v/>
      </c>
      <c r="AE39" s="1" t="str">
        <f t="shared" si="4"/>
        <v/>
      </c>
      <c r="AF39" s="1" t="str">
        <f t="shared" si="4"/>
        <v/>
      </c>
    </row>
    <row r="40" spans="6:32" x14ac:dyDescent="0.25">
      <c r="F40" t="str">
        <f t="shared" si="5"/>
        <v/>
      </c>
      <c r="H40" s="1" t="str">
        <f t="shared" si="6"/>
        <v/>
      </c>
      <c r="AE40" s="1" t="str">
        <f t="shared" si="4"/>
        <v/>
      </c>
      <c r="AF40" s="1" t="str">
        <f t="shared" si="4"/>
        <v/>
      </c>
    </row>
    <row r="41" spans="6:32" x14ac:dyDescent="0.25">
      <c r="F41" t="str">
        <f t="shared" si="5"/>
        <v/>
      </c>
      <c r="H41" s="1" t="str">
        <f t="shared" si="6"/>
        <v/>
      </c>
      <c r="AE41" s="1" t="str">
        <f t="shared" si="4"/>
        <v/>
      </c>
      <c r="AF41" s="1" t="str">
        <f t="shared" si="4"/>
        <v/>
      </c>
    </row>
    <row r="42" spans="6:32" x14ac:dyDescent="0.25">
      <c r="F42" t="str">
        <f t="shared" si="5"/>
        <v/>
      </c>
      <c r="H42" s="1" t="str">
        <f t="shared" si="6"/>
        <v/>
      </c>
      <c r="AE42" s="1" t="str">
        <f t="shared" ref="AE42:AF61" si="7">IF(OR(AE$21="",$G42=""),"",AD42)</f>
        <v/>
      </c>
      <c r="AF42" s="1" t="str">
        <f t="shared" si="7"/>
        <v/>
      </c>
    </row>
    <row r="43" spans="6:32" x14ac:dyDescent="0.25">
      <c r="F43" t="str">
        <f t="shared" si="5"/>
        <v/>
      </c>
      <c r="H43" s="1" t="str">
        <f t="shared" si="6"/>
        <v/>
      </c>
      <c r="AE43" s="1" t="str">
        <f t="shared" si="7"/>
        <v/>
      </c>
      <c r="AF43" s="1" t="str">
        <f t="shared" si="7"/>
        <v/>
      </c>
    </row>
    <row r="44" spans="6:32" x14ac:dyDescent="0.25">
      <c r="F44" t="str">
        <f t="shared" si="5"/>
        <v/>
      </c>
      <c r="H44" s="1" t="str">
        <f t="shared" si="6"/>
        <v/>
      </c>
      <c r="AE44" s="1" t="str">
        <f t="shared" si="7"/>
        <v/>
      </c>
      <c r="AF44" s="1" t="str">
        <f t="shared" si="7"/>
        <v/>
      </c>
    </row>
    <row r="45" spans="6:32" x14ac:dyDescent="0.25">
      <c r="F45" t="str">
        <f t="shared" si="5"/>
        <v/>
      </c>
      <c r="H45" s="1" t="str">
        <f t="shared" si="6"/>
        <v/>
      </c>
      <c r="AE45" s="1" t="str">
        <f t="shared" si="7"/>
        <v/>
      </c>
      <c r="AF45" s="1" t="str">
        <f t="shared" si="7"/>
        <v/>
      </c>
    </row>
    <row r="46" spans="6:32" x14ac:dyDescent="0.25">
      <c r="F46" t="str">
        <f t="shared" si="5"/>
        <v/>
      </c>
      <c r="H46" s="1" t="str">
        <f t="shared" si="6"/>
        <v/>
      </c>
      <c r="AE46" s="1" t="str">
        <f t="shared" si="7"/>
        <v/>
      </c>
      <c r="AF46" s="1" t="str">
        <f t="shared" si="7"/>
        <v/>
      </c>
    </row>
    <row r="47" spans="6:32" x14ac:dyDescent="0.25">
      <c r="F47" t="str">
        <f t="shared" si="5"/>
        <v/>
      </c>
      <c r="H47" s="1" t="str">
        <f t="shared" si="6"/>
        <v/>
      </c>
      <c r="AE47" s="1" t="str">
        <f t="shared" si="7"/>
        <v/>
      </c>
      <c r="AF47" s="1" t="str">
        <f t="shared" si="7"/>
        <v/>
      </c>
    </row>
    <row r="48" spans="6:32" x14ac:dyDescent="0.25">
      <c r="F48" t="str">
        <f t="shared" si="5"/>
        <v/>
      </c>
      <c r="H48" s="1" t="str">
        <f t="shared" si="6"/>
        <v/>
      </c>
      <c r="AE48" s="1" t="str">
        <f t="shared" si="7"/>
        <v/>
      </c>
      <c r="AF48" s="1" t="str">
        <f t="shared" si="7"/>
        <v/>
      </c>
    </row>
    <row r="49" spans="6:32" x14ac:dyDescent="0.25">
      <c r="F49" t="str">
        <f t="shared" si="5"/>
        <v/>
      </c>
      <c r="H49" s="1" t="str">
        <f t="shared" si="6"/>
        <v/>
      </c>
      <c r="AE49" s="1" t="str">
        <f t="shared" si="7"/>
        <v/>
      </c>
      <c r="AF49" s="1" t="str">
        <f t="shared" si="7"/>
        <v/>
      </c>
    </row>
    <row r="50" spans="6:32" x14ac:dyDescent="0.25">
      <c r="F50" t="str">
        <f t="shared" si="5"/>
        <v/>
      </c>
      <c r="H50" s="1" t="str">
        <f t="shared" si="6"/>
        <v/>
      </c>
      <c r="AE50" s="1" t="str">
        <f t="shared" si="7"/>
        <v/>
      </c>
      <c r="AF50" s="1" t="str">
        <f t="shared" si="7"/>
        <v/>
      </c>
    </row>
    <row r="51" spans="6:32" x14ac:dyDescent="0.25">
      <c r="F51" t="str">
        <f t="shared" si="5"/>
        <v/>
      </c>
      <c r="H51" s="1" t="str">
        <f t="shared" si="6"/>
        <v/>
      </c>
      <c r="AE51" s="1" t="str">
        <f t="shared" si="7"/>
        <v/>
      </c>
      <c r="AF51" s="1" t="str">
        <f t="shared" si="7"/>
        <v/>
      </c>
    </row>
    <row r="52" spans="6:32" x14ac:dyDescent="0.25">
      <c r="F52" t="str">
        <f t="shared" si="5"/>
        <v/>
      </c>
      <c r="H52" s="1" t="str">
        <f t="shared" si="6"/>
        <v/>
      </c>
      <c r="AE52" s="1" t="str">
        <f t="shared" si="7"/>
        <v/>
      </c>
      <c r="AF52" s="1" t="str">
        <f t="shared" si="7"/>
        <v/>
      </c>
    </row>
    <row r="53" spans="6:32" x14ac:dyDescent="0.25">
      <c r="F53" t="str">
        <f t="shared" si="5"/>
        <v/>
      </c>
      <c r="H53" s="1" t="str">
        <f t="shared" si="6"/>
        <v/>
      </c>
      <c r="AE53" s="1" t="str">
        <f t="shared" si="7"/>
        <v/>
      </c>
      <c r="AF53" s="1" t="str">
        <f t="shared" si="7"/>
        <v/>
      </c>
    </row>
    <row r="54" spans="6:32" x14ac:dyDescent="0.25">
      <c r="F54" t="str">
        <f t="shared" si="5"/>
        <v/>
      </c>
      <c r="H54" s="1" t="str">
        <f t="shared" si="6"/>
        <v/>
      </c>
      <c r="AE54" s="1" t="str">
        <f t="shared" si="7"/>
        <v/>
      </c>
      <c r="AF54" s="1" t="str">
        <f t="shared" si="7"/>
        <v/>
      </c>
    </row>
    <row r="55" spans="6:32" x14ac:dyDescent="0.25">
      <c r="F55" t="str">
        <f t="shared" si="5"/>
        <v/>
      </c>
      <c r="H55" s="1" t="str">
        <f t="shared" si="6"/>
        <v/>
      </c>
      <c r="AE55" s="1" t="str">
        <f t="shared" si="7"/>
        <v/>
      </c>
      <c r="AF55" s="1" t="str">
        <f t="shared" si="7"/>
        <v/>
      </c>
    </row>
    <row r="56" spans="6:32" x14ac:dyDescent="0.25">
      <c r="F56" t="str">
        <f t="shared" si="5"/>
        <v/>
      </c>
      <c r="H56" s="1" t="str">
        <f t="shared" si="6"/>
        <v/>
      </c>
      <c r="AE56" s="1" t="str">
        <f t="shared" si="7"/>
        <v/>
      </c>
      <c r="AF56" s="1" t="str">
        <f t="shared" si="7"/>
        <v/>
      </c>
    </row>
    <row r="57" spans="6:32" x14ac:dyDescent="0.25">
      <c r="F57" t="str">
        <f t="shared" si="5"/>
        <v/>
      </c>
      <c r="H57" s="1" t="str">
        <f t="shared" si="6"/>
        <v/>
      </c>
      <c r="AE57" s="1" t="str">
        <f t="shared" si="7"/>
        <v/>
      </c>
      <c r="AF57" s="1" t="str">
        <f t="shared" si="7"/>
        <v/>
      </c>
    </row>
    <row r="58" spans="6:32" x14ac:dyDescent="0.25">
      <c r="F58" t="str">
        <f t="shared" si="5"/>
        <v/>
      </c>
      <c r="H58" s="1" t="str">
        <f t="shared" si="6"/>
        <v/>
      </c>
      <c r="AE58" s="1" t="str">
        <f t="shared" si="7"/>
        <v/>
      </c>
      <c r="AF58" s="1" t="str">
        <f t="shared" si="7"/>
        <v/>
      </c>
    </row>
    <row r="59" spans="6:32" x14ac:dyDescent="0.25">
      <c r="F59" t="str">
        <f t="shared" si="5"/>
        <v/>
      </c>
      <c r="H59" s="1" t="str">
        <f t="shared" si="6"/>
        <v/>
      </c>
      <c r="AE59" s="1" t="str">
        <f t="shared" si="7"/>
        <v/>
      </c>
      <c r="AF59" s="1" t="str">
        <f t="shared" si="7"/>
        <v/>
      </c>
    </row>
    <row r="60" spans="6:32" x14ac:dyDescent="0.25">
      <c r="F60" t="str">
        <f t="shared" si="5"/>
        <v/>
      </c>
      <c r="H60" s="1" t="str">
        <f t="shared" si="6"/>
        <v/>
      </c>
      <c r="AE60" s="1" t="str">
        <f t="shared" si="7"/>
        <v/>
      </c>
      <c r="AF60" s="1" t="str">
        <f t="shared" si="7"/>
        <v/>
      </c>
    </row>
    <row r="61" spans="6:32" x14ac:dyDescent="0.25">
      <c r="F61" t="str">
        <f t="shared" si="5"/>
        <v/>
      </c>
      <c r="H61" s="1" t="str">
        <f t="shared" si="6"/>
        <v/>
      </c>
      <c r="AE61" s="1" t="str">
        <f t="shared" si="7"/>
        <v/>
      </c>
      <c r="AF61" s="1" t="str">
        <f t="shared" si="7"/>
        <v/>
      </c>
    </row>
    <row r="62" spans="6:32" x14ac:dyDescent="0.25">
      <c r="F62" t="str">
        <f t="shared" si="5"/>
        <v/>
      </c>
      <c r="H62" s="1" t="str">
        <f t="shared" si="6"/>
        <v/>
      </c>
      <c r="I62" s="1" t="str">
        <f t="shared" ref="I62:AD62" si="8">IF(OR(I$21="",$G62=""),"",H62)</f>
        <v/>
      </c>
      <c r="J62" s="1" t="str">
        <f t="shared" si="8"/>
        <v/>
      </c>
      <c r="K62" s="1" t="str">
        <f t="shared" si="8"/>
        <v/>
      </c>
      <c r="L62" s="1" t="str">
        <f t="shared" si="8"/>
        <v/>
      </c>
      <c r="M62" s="1" t="str">
        <f t="shared" si="8"/>
        <v/>
      </c>
      <c r="N62" s="1" t="str">
        <f t="shared" si="8"/>
        <v/>
      </c>
      <c r="O62" s="1" t="str">
        <f t="shared" si="8"/>
        <v/>
      </c>
      <c r="P62" s="1" t="str">
        <f t="shared" si="8"/>
        <v/>
      </c>
      <c r="Q62" s="1" t="str">
        <f t="shared" si="8"/>
        <v/>
      </c>
      <c r="R62" s="1" t="str">
        <f t="shared" si="8"/>
        <v/>
      </c>
      <c r="S62" s="1" t="str">
        <f t="shared" si="8"/>
        <v/>
      </c>
      <c r="T62" s="1" t="str">
        <f t="shared" si="8"/>
        <v/>
      </c>
      <c r="U62" s="1" t="str">
        <f t="shared" si="8"/>
        <v/>
      </c>
      <c r="V62" s="1" t="str">
        <f t="shared" si="8"/>
        <v/>
      </c>
      <c r="W62" s="1" t="str">
        <f t="shared" si="8"/>
        <v/>
      </c>
      <c r="X62" s="1" t="str">
        <f t="shared" si="8"/>
        <v/>
      </c>
      <c r="Y62" s="1" t="str">
        <f t="shared" si="8"/>
        <v/>
      </c>
      <c r="Z62" s="1" t="str">
        <f t="shared" si="8"/>
        <v/>
      </c>
      <c r="AA62" s="1" t="str">
        <f t="shared" si="8"/>
        <v/>
      </c>
      <c r="AB62" s="1" t="str">
        <f t="shared" si="8"/>
        <v/>
      </c>
      <c r="AC62" s="1" t="str">
        <f t="shared" si="8"/>
        <v/>
      </c>
      <c r="AD62" s="1" t="str">
        <f t="shared" si="8"/>
        <v/>
      </c>
      <c r="AE62" s="1" t="str">
        <f t="shared" ref="AE62:AF81" si="9">IF(OR(AE$21="",$G62=""),"",AD62)</f>
        <v/>
      </c>
      <c r="AF62" s="1" t="str">
        <f t="shared" si="9"/>
        <v/>
      </c>
    </row>
    <row r="63" spans="6:32" x14ac:dyDescent="0.25">
      <c r="F63" t="str">
        <f t="shared" si="5"/>
        <v/>
      </c>
      <c r="H63" s="1" t="str">
        <f t="shared" si="6"/>
        <v/>
      </c>
      <c r="I63" s="1" t="str">
        <f t="shared" ref="I63:AD63" si="10">IF(OR(I$21="",$G63=""),"",H63)</f>
        <v/>
      </c>
      <c r="J63" s="1" t="str">
        <f t="shared" si="10"/>
        <v/>
      </c>
      <c r="K63" s="1" t="str">
        <f t="shared" si="10"/>
        <v/>
      </c>
      <c r="L63" s="1" t="str">
        <f t="shared" si="10"/>
        <v/>
      </c>
      <c r="M63" s="1" t="str">
        <f t="shared" si="10"/>
        <v/>
      </c>
      <c r="N63" s="1" t="str">
        <f t="shared" si="10"/>
        <v/>
      </c>
      <c r="O63" s="1" t="str">
        <f t="shared" si="10"/>
        <v/>
      </c>
      <c r="P63" s="1" t="str">
        <f t="shared" si="10"/>
        <v/>
      </c>
      <c r="Q63" s="1" t="str">
        <f t="shared" si="10"/>
        <v/>
      </c>
      <c r="R63" s="1" t="str">
        <f t="shared" si="10"/>
        <v/>
      </c>
      <c r="S63" s="1" t="str">
        <f t="shared" si="10"/>
        <v/>
      </c>
      <c r="T63" s="1" t="str">
        <f t="shared" si="10"/>
        <v/>
      </c>
      <c r="U63" s="1" t="str">
        <f t="shared" si="10"/>
        <v/>
      </c>
      <c r="V63" s="1" t="str">
        <f t="shared" si="10"/>
        <v/>
      </c>
      <c r="W63" s="1" t="str">
        <f t="shared" si="10"/>
        <v/>
      </c>
      <c r="X63" s="1" t="str">
        <f t="shared" si="10"/>
        <v/>
      </c>
      <c r="Y63" s="1" t="str">
        <f t="shared" si="10"/>
        <v/>
      </c>
      <c r="Z63" s="1" t="str">
        <f t="shared" si="10"/>
        <v/>
      </c>
      <c r="AA63" s="1" t="str">
        <f t="shared" si="10"/>
        <v/>
      </c>
      <c r="AB63" s="1" t="str">
        <f t="shared" si="10"/>
        <v/>
      </c>
      <c r="AC63" s="1" t="str">
        <f t="shared" si="10"/>
        <v/>
      </c>
      <c r="AD63" s="1" t="str">
        <f t="shared" si="10"/>
        <v/>
      </c>
      <c r="AE63" s="1" t="str">
        <f t="shared" si="9"/>
        <v/>
      </c>
      <c r="AF63" s="1" t="str">
        <f t="shared" si="9"/>
        <v/>
      </c>
    </row>
    <row r="64" spans="6:32" x14ac:dyDescent="0.25">
      <c r="F64" t="s">
        <v>53</v>
      </c>
      <c r="H64" s="1" t="str">
        <f t="shared" si="6"/>
        <v/>
      </c>
      <c r="AE64" s="1" t="str">
        <f t="shared" si="9"/>
        <v/>
      </c>
      <c r="AF64" s="1" t="str">
        <f t="shared" si="9"/>
        <v/>
      </c>
    </row>
    <row r="65" spans="6:32" x14ac:dyDescent="0.25">
      <c r="F65" t="s">
        <v>54</v>
      </c>
      <c r="H65" s="1" t="str">
        <f t="shared" si="6"/>
        <v/>
      </c>
      <c r="AE65" s="1" t="str">
        <f t="shared" si="9"/>
        <v/>
      </c>
      <c r="AF65" s="1" t="str">
        <f t="shared" si="9"/>
        <v/>
      </c>
    </row>
    <row r="66" spans="6:32" x14ac:dyDescent="0.25">
      <c r="F66" t="s">
        <v>55</v>
      </c>
      <c r="H66" s="1" t="str">
        <f t="shared" si="6"/>
        <v/>
      </c>
    </row>
    <row r="71" spans="6:32" x14ac:dyDescent="0.25">
      <c r="F71" t="str">
        <f>IF(C71&lt;&gt;"","Planned","")</f>
        <v/>
      </c>
    </row>
  </sheetData>
  <mergeCells count="3">
    <mergeCell ref="D4:H4"/>
    <mergeCell ref="D5:H5"/>
    <mergeCell ref="D3:H3"/>
  </mergeCells>
  <conditionalFormatting sqref="B22:AF65">
    <cfRule type="expression" dxfId="11" priority="3" stopIfTrue="1">
      <formula>$F22="Terminado"</formula>
    </cfRule>
    <cfRule type="expression" dxfId="10" priority="4" stopIfTrue="1">
      <formula>$F22="En Progreso"</formula>
    </cfRule>
  </conditionalFormatting>
  <conditionalFormatting sqref="L22:AF25 C26:AF65">
    <cfRule type="expression" dxfId="9" priority="1" stopIfTrue="1">
      <formula>$F22="Done"</formula>
    </cfRule>
    <cfRule type="expression" dxfId="8" priority="2" stopIfTrue="1">
      <formula>$F22="Ongoing"</formula>
    </cfRule>
  </conditionalFormatting>
  <dataValidations count="1">
    <dataValidation type="list" allowBlank="1" showInputMessage="1" sqref="F10:F15 F22:F71" xr:uid="{00000000-0002-0000-0000-000000000000}">
      <formula1>"Por Hacer,En Progreso,Terminado"</formula1>
    </dataValidation>
  </dataValidations>
  <pageMargins left="0.75" right="0.75" top="1" bottom="1" header="0.5" footer="0.5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B1:AF71"/>
  <sheetViews>
    <sheetView workbookViewId="0">
      <selection activeCell="D3" sqref="D3:H3"/>
    </sheetView>
  </sheetViews>
  <sheetFormatPr defaultColWidth="9.109375" defaultRowHeight="13.2" x14ac:dyDescent="0.25"/>
  <cols>
    <col min="1" max="1" width="3.33203125" customWidth="1"/>
    <col min="2" max="2" width="9.109375" customWidth="1"/>
    <col min="3" max="3" width="38.44140625" customWidth="1"/>
    <col min="4" max="4" width="10.6640625" style="1" customWidth="1"/>
    <col min="5" max="5" width="13.6640625" customWidth="1"/>
    <col min="6" max="6" width="10.88671875" customWidth="1"/>
    <col min="7" max="7" width="9.5546875" style="1" customWidth="1"/>
    <col min="8" max="32" width="4.44140625" style="1" customWidth="1"/>
  </cols>
  <sheetData>
    <row r="1" spans="2:32" ht="13.5" customHeight="1" thickBot="1" x14ac:dyDescent="0.3"/>
    <row r="2" spans="2:32" ht="10.5" customHeight="1" x14ac:dyDescent="0.25">
      <c r="B2" s="12"/>
      <c r="C2" s="13"/>
      <c r="D2" s="14"/>
      <c r="E2" s="15"/>
      <c r="F2" s="15"/>
      <c r="G2" s="15"/>
      <c r="H2" s="15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4"/>
      <c r="W2" s="15"/>
      <c r="X2" s="15"/>
      <c r="Y2" s="15"/>
      <c r="Z2" s="15"/>
      <c r="AA2" s="15"/>
      <c r="AB2" s="15"/>
      <c r="AC2" s="15"/>
      <c r="AD2" s="15"/>
      <c r="AE2" s="15"/>
      <c r="AF2" s="16"/>
    </row>
    <row r="3" spans="2:32" ht="15" customHeight="1" x14ac:dyDescent="0.25">
      <c r="B3" s="17"/>
      <c r="C3" s="10" t="s">
        <v>0</v>
      </c>
      <c r="D3" s="29" t="s">
        <v>1</v>
      </c>
      <c r="E3" s="30"/>
      <c r="F3" s="30"/>
      <c r="G3" s="30"/>
      <c r="H3" s="31"/>
      <c r="I3" s="9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9"/>
      <c r="W3" s="11"/>
      <c r="X3" s="11"/>
      <c r="Y3" s="11"/>
      <c r="Z3" s="11"/>
      <c r="AA3" s="11"/>
      <c r="AB3" s="11"/>
      <c r="AC3" s="11"/>
      <c r="AD3" s="11"/>
      <c r="AE3" s="11"/>
      <c r="AF3" s="18"/>
    </row>
    <row r="4" spans="2:32" ht="15" customHeight="1" x14ac:dyDescent="0.25">
      <c r="B4" s="17"/>
      <c r="C4" s="10" t="s">
        <v>2</v>
      </c>
      <c r="D4" s="29" t="s">
        <v>3</v>
      </c>
      <c r="E4" s="30"/>
      <c r="F4" s="30"/>
      <c r="G4" s="30"/>
      <c r="H4" s="31"/>
      <c r="I4" s="9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9"/>
      <c r="W4" s="11"/>
      <c r="X4" s="11"/>
      <c r="Y4" s="11"/>
      <c r="Z4" s="11"/>
      <c r="AA4" s="11"/>
      <c r="AB4" s="11"/>
      <c r="AC4" s="11"/>
      <c r="AD4" s="11"/>
      <c r="AE4" s="11"/>
      <c r="AF4" s="18"/>
    </row>
    <row r="5" spans="2:32" ht="15" customHeight="1" x14ac:dyDescent="0.25">
      <c r="B5" s="17"/>
      <c r="C5" s="10" t="s">
        <v>4</v>
      </c>
      <c r="D5" s="29" t="s">
        <v>5</v>
      </c>
      <c r="E5" s="30"/>
      <c r="F5" s="30"/>
      <c r="G5" s="30"/>
      <c r="H5" s="31"/>
      <c r="I5" s="9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9"/>
      <c r="W5" s="11"/>
      <c r="X5" s="11"/>
      <c r="Y5" s="11"/>
      <c r="Z5" s="11"/>
      <c r="AA5" s="11"/>
      <c r="AB5" s="11"/>
      <c r="AC5" s="11"/>
      <c r="AD5" s="11"/>
      <c r="AE5" s="11"/>
      <c r="AF5" s="18"/>
    </row>
    <row r="6" spans="2:32" ht="15" customHeight="1" thickBot="1" x14ac:dyDescent="0.3">
      <c r="B6" s="19"/>
      <c r="C6" s="20"/>
      <c r="D6" s="21"/>
      <c r="E6" s="21"/>
      <c r="F6" s="21"/>
      <c r="G6" s="21"/>
      <c r="H6" s="21"/>
      <c r="I6" s="2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2"/>
      <c r="W6" s="23"/>
      <c r="X6" s="23"/>
      <c r="Y6" s="23"/>
      <c r="Z6" s="23"/>
      <c r="AA6" s="23"/>
      <c r="AB6" s="23"/>
      <c r="AC6" s="23"/>
      <c r="AD6" s="23"/>
      <c r="AE6" s="23"/>
      <c r="AF6" s="24"/>
    </row>
    <row r="8" spans="2:32" ht="18" customHeight="1" x14ac:dyDescent="0.3">
      <c r="C8" s="6">
        <v>2</v>
      </c>
      <c r="D8" s="7"/>
    </row>
    <row r="16" spans="2:32" x14ac:dyDescent="0.25">
      <c r="B16" s="4"/>
      <c r="C16" s="4" t="s">
        <v>6</v>
      </c>
      <c r="D16" s="1">
        <v>8</v>
      </c>
      <c r="E16" s="4"/>
      <c r="F16" s="2"/>
      <c r="G16" s="4" t="s">
        <v>7</v>
      </c>
      <c r="H16" s="4" t="s">
        <v>8</v>
      </c>
      <c r="I16" s="4"/>
      <c r="J16" s="4"/>
      <c r="K16" s="4"/>
      <c r="L16" s="4"/>
      <c r="M16" s="4"/>
      <c r="N16" s="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2:32" x14ac:dyDescent="0.25">
      <c r="B17" s="4"/>
      <c r="C17" s="4" t="s">
        <v>9</v>
      </c>
      <c r="D17" s="1">
        <v>10</v>
      </c>
      <c r="E17" s="4" t="s">
        <v>10</v>
      </c>
      <c r="F17" s="4" t="s">
        <v>11</v>
      </c>
      <c r="G17" s="3">
        <f ca="1">SUM(OFFSET(G21,1,0,TaskRows,1))</f>
        <v>32</v>
      </c>
      <c r="H17" s="3">
        <f ca="1">IF(AND(SUM(OFFSET(H21,1,0,TaskRows,1))=0),0,SUM(OFFSET(H21,1,0,TaskRows,1)))</f>
        <v>32</v>
      </c>
      <c r="I17" s="3">
        <f t="shared" ref="I17:AF17" ca="1" si="0">IF(AND(SUM(OFFSET(I21,1,0,TaskRows,1))=0),"",SUM(OFFSET(I21,1,0,TaskRows,1)))</f>
        <v>32</v>
      </c>
      <c r="J17" s="3">
        <f t="shared" ca="1" si="0"/>
        <v>28</v>
      </c>
      <c r="K17" s="3">
        <f t="shared" ca="1" si="0"/>
        <v>20</v>
      </c>
      <c r="L17" s="3">
        <f t="shared" ca="1" si="0"/>
        <v>13</v>
      </c>
      <c r="M17" s="3">
        <f t="shared" ca="1" si="0"/>
        <v>12</v>
      </c>
      <c r="N17" s="3">
        <f t="shared" ca="1" si="0"/>
        <v>4</v>
      </c>
      <c r="O17" s="3" t="str">
        <f t="shared" ca="1" si="0"/>
        <v/>
      </c>
      <c r="P17" s="3">
        <f t="shared" ca="1" si="0"/>
        <v>6</v>
      </c>
      <c r="Q17" s="3" t="str">
        <f t="shared" ca="1" si="0"/>
        <v/>
      </c>
      <c r="R17" s="3" t="str">
        <f t="shared" ca="1" si="0"/>
        <v/>
      </c>
      <c r="S17" s="3" t="str">
        <f t="shared" ca="1" si="0"/>
        <v/>
      </c>
      <c r="T17" s="3" t="str">
        <f t="shared" ca="1" si="0"/>
        <v/>
      </c>
      <c r="U17" s="3" t="str">
        <f t="shared" ca="1" si="0"/>
        <v/>
      </c>
      <c r="V17" s="3" t="str">
        <f t="shared" ca="1" si="0"/>
        <v/>
      </c>
      <c r="W17" s="3" t="str">
        <f t="shared" ca="1" si="0"/>
        <v/>
      </c>
      <c r="X17" s="3" t="str">
        <f t="shared" ca="1" si="0"/>
        <v/>
      </c>
      <c r="Y17" s="3" t="str">
        <f t="shared" ca="1" si="0"/>
        <v/>
      </c>
      <c r="Z17" s="3" t="str">
        <f t="shared" ca="1" si="0"/>
        <v/>
      </c>
      <c r="AA17" s="3" t="str">
        <f t="shared" ca="1" si="0"/>
        <v/>
      </c>
      <c r="AB17" s="3" t="str">
        <f t="shared" ca="1" si="0"/>
        <v/>
      </c>
      <c r="AC17" s="3" t="str">
        <f t="shared" ca="1" si="0"/>
        <v/>
      </c>
      <c r="AD17" s="3" t="str">
        <f t="shared" ca="1" si="0"/>
        <v/>
      </c>
      <c r="AE17" s="3" t="str">
        <f t="shared" ca="1" si="0"/>
        <v/>
      </c>
      <c r="AF17" s="3" t="str">
        <f t="shared" ca="1" si="0"/>
        <v/>
      </c>
    </row>
    <row r="18" spans="2:32" hidden="1" x14ac:dyDescent="0.25">
      <c r="C18" t="s">
        <v>12</v>
      </c>
      <c r="D18" s="1">
        <f>IF(COUNTA(C22:C249)=0,1,COUNTA(C22:C249))</f>
        <v>16</v>
      </c>
      <c r="E18" t="s">
        <v>13</v>
      </c>
      <c r="F18" s="1">
        <f ca="1">IF(COUNTIF(H17:AF17,"&gt;0")=0,1,COUNTIF(H17:AF17,"&gt;0"))</f>
        <v>8</v>
      </c>
      <c r="H18" s="1">
        <f ca="1">IF(H21="","",$G17-$G17/($D16-1)*(H21-1))</f>
        <v>32</v>
      </c>
      <c r="I18" s="1">
        <f t="shared" ref="I18:AF18" ca="1" si="1">IF(I21="","",TotalEffort-TotalEffort/(ImplementationDays)*(I21-1))</f>
        <v>28</v>
      </c>
      <c r="J18" s="1">
        <f t="shared" ca="1" si="1"/>
        <v>24</v>
      </c>
      <c r="K18" s="1">
        <f t="shared" ca="1" si="1"/>
        <v>20</v>
      </c>
      <c r="L18" s="1">
        <f t="shared" ca="1" si="1"/>
        <v>16</v>
      </c>
      <c r="M18" s="1">
        <f t="shared" ca="1" si="1"/>
        <v>12</v>
      </c>
      <c r="N18" s="1">
        <f t="shared" ca="1" si="1"/>
        <v>8</v>
      </c>
      <c r="O18" s="1">
        <f t="shared" ca="1" si="1"/>
        <v>4</v>
      </c>
      <c r="P18" s="1" t="str">
        <f t="shared" si="1"/>
        <v/>
      </c>
      <c r="Q18" s="1" t="str">
        <f t="shared" si="1"/>
        <v/>
      </c>
      <c r="R18" s="1" t="str">
        <f t="shared" si="1"/>
        <v/>
      </c>
      <c r="S18" s="1" t="str">
        <f t="shared" si="1"/>
        <v/>
      </c>
      <c r="T18" s="1" t="str">
        <f t="shared" si="1"/>
        <v/>
      </c>
      <c r="U18" s="1" t="str">
        <f t="shared" si="1"/>
        <v/>
      </c>
      <c r="V18" s="1" t="str">
        <f t="shared" si="1"/>
        <v/>
      </c>
      <c r="W18" s="1" t="str">
        <f t="shared" si="1"/>
        <v/>
      </c>
      <c r="X18" s="1" t="str">
        <f t="shared" si="1"/>
        <v/>
      </c>
      <c r="Y18" s="1" t="str">
        <f t="shared" si="1"/>
        <v/>
      </c>
      <c r="Z18" s="1" t="str">
        <f t="shared" si="1"/>
        <v/>
      </c>
      <c r="AA18" s="1" t="str">
        <f t="shared" si="1"/>
        <v/>
      </c>
      <c r="AB18" s="1" t="str">
        <f t="shared" si="1"/>
        <v/>
      </c>
      <c r="AC18" s="1" t="str">
        <f t="shared" si="1"/>
        <v/>
      </c>
      <c r="AD18" s="1" t="str">
        <f t="shared" si="1"/>
        <v/>
      </c>
      <c r="AE18" s="1" t="str">
        <f t="shared" si="1"/>
        <v/>
      </c>
      <c r="AF18" s="1" t="str">
        <f t="shared" si="1"/>
        <v/>
      </c>
    </row>
    <row r="19" spans="2:32" hidden="1" x14ac:dyDescent="0.25">
      <c r="C19" s="8" t="s">
        <v>14</v>
      </c>
      <c r="E19" t="s">
        <v>15</v>
      </c>
      <c r="F19" s="1"/>
      <c r="H19" s="1" t="e">
        <f t="shared" ref="H19:AF19" ca="1" si="2">IF(TREND(OFFSET($H17,0,DoneDays-TrendDays,1,TrendDays),OFFSET($H20,0,DoneDays-TrendDays,1,TrendDays),H20)&lt;0,"",TREND(OFFSET($H17,0,DoneDays-TrendDays,1,TrendDays),OFFSET($H20,0,DoneDays-TrendDays,1,TrendDays),H20))</f>
        <v>#VALUE!</v>
      </c>
      <c r="I19" s="1" t="e">
        <f t="shared" ca="1" si="2"/>
        <v>#VALUE!</v>
      </c>
      <c r="J19" s="1" t="e">
        <f t="shared" ca="1" si="2"/>
        <v>#VALUE!</v>
      </c>
      <c r="K19" s="1" t="e">
        <f t="shared" ca="1" si="2"/>
        <v>#VALUE!</v>
      </c>
      <c r="L19" s="1" t="e">
        <f t="shared" ca="1" si="2"/>
        <v>#VALUE!</v>
      </c>
      <c r="M19" s="1" t="e">
        <f t="shared" ca="1" si="2"/>
        <v>#VALUE!</v>
      </c>
      <c r="N19" s="1" t="e">
        <f t="shared" ca="1" si="2"/>
        <v>#VALUE!</v>
      </c>
      <c r="O19" s="1" t="e">
        <f t="shared" ca="1" si="2"/>
        <v>#VALUE!</v>
      </c>
      <c r="P19" s="1" t="e">
        <f t="shared" ca="1" si="2"/>
        <v>#VALUE!</v>
      </c>
      <c r="Q19" s="1" t="e">
        <f t="shared" ca="1" si="2"/>
        <v>#VALUE!</v>
      </c>
      <c r="R19" s="1" t="e">
        <f t="shared" ca="1" si="2"/>
        <v>#VALUE!</v>
      </c>
      <c r="S19" s="1" t="e">
        <f t="shared" ca="1" si="2"/>
        <v>#VALUE!</v>
      </c>
      <c r="T19" s="1" t="e">
        <f t="shared" ca="1" si="2"/>
        <v>#VALUE!</v>
      </c>
      <c r="U19" s="1" t="e">
        <f t="shared" ca="1" si="2"/>
        <v>#VALUE!</v>
      </c>
      <c r="V19" s="1" t="e">
        <f t="shared" ca="1" si="2"/>
        <v>#VALUE!</v>
      </c>
      <c r="W19" s="1" t="e">
        <f t="shared" ca="1" si="2"/>
        <v>#VALUE!</v>
      </c>
      <c r="X19" s="1" t="e">
        <f t="shared" ca="1" si="2"/>
        <v>#VALUE!</v>
      </c>
      <c r="Y19" s="1" t="e">
        <f t="shared" ca="1" si="2"/>
        <v>#VALUE!</v>
      </c>
      <c r="Z19" s="1" t="e">
        <f t="shared" ca="1" si="2"/>
        <v>#VALUE!</v>
      </c>
      <c r="AA19" s="1" t="e">
        <f t="shared" ca="1" si="2"/>
        <v>#VALUE!</v>
      </c>
      <c r="AB19" s="1" t="e">
        <f t="shared" ca="1" si="2"/>
        <v>#VALUE!</v>
      </c>
      <c r="AC19" s="1" t="e">
        <f t="shared" ca="1" si="2"/>
        <v>#VALUE!</v>
      </c>
      <c r="AD19" s="1" t="e">
        <f t="shared" ca="1" si="2"/>
        <v>#VALUE!</v>
      </c>
      <c r="AE19" s="1" t="e">
        <f t="shared" ca="1" si="2"/>
        <v>#VALUE!</v>
      </c>
      <c r="AF19" s="1" t="e">
        <f t="shared" ca="1" si="2"/>
        <v>#VALUE!</v>
      </c>
    </row>
    <row r="20" spans="2:32" hidden="1" x14ac:dyDescent="0.25">
      <c r="C20" s="8" t="s">
        <v>16</v>
      </c>
      <c r="E20" t="s">
        <v>17</v>
      </c>
      <c r="F20" s="1">
        <f ca="1">IF(DoneDays&gt;D17,D17,DoneDays)</f>
        <v>8</v>
      </c>
      <c r="H20" s="1">
        <f ca="1">IF(DoneDays&gt;G20,G20+1,"")</f>
        <v>1</v>
      </c>
      <c r="I20" s="1">
        <v>2</v>
      </c>
      <c r="J20" s="1">
        <v>3</v>
      </c>
      <c r="K20" s="1">
        <v>4</v>
      </c>
      <c r="L20" s="1">
        <v>5</v>
      </c>
      <c r="M20" s="1">
        <v>6</v>
      </c>
      <c r="N20" s="1">
        <v>7</v>
      </c>
      <c r="O20" s="1">
        <v>8</v>
      </c>
      <c r="P20" s="1">
        <v>9</v>
      </c>
      <c r="Q20" s="1">
        <v>10</v>
      </c>
      <c r="R20" s="1">
        <v>11</v>
      </c>
      <c r="S20" s="1">
        <v>12</v>
      </c>
      <c r="T20" s="1">
        <v>13</v>
      </c>
      <c r="U20" s="1">
        <v>14</v>
      </c>
      <c r="V20" s="1">
        <v>15</v>
      </c>
      <c r="W20" s="1">
        <v>16</v>
      </c>
      <c r="X20" s="1">
        <v>17</v>
      </c>
      <c r="Y20" s="1">
        <v>18</v>
      </c>
      <c r="Z20" s="1">
        <v>19</v>
      </c>
      <c r="AA20" s="1">
        <v>20</v>
      </c>
      <c r="AB20" s="1">
        <v>21</v>
      </c>
      <c r="AC20" s="1">
        <v>22</v>
      </c>
      <c r="AD20" s="1">
        <v>23</v>
      </c>
      <c r="AE20" s="1">
        <v>24</v>
      </c>
      <c r="AF20" s="1">
        <v>25</v>
      </c>
    </row>
    <row r="21" spans="2:32" x14ac:dyDescent="0.25">
      <c r="B21" s="4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>
        <v>1</v>
      </c>
      <c r="I21" s="5">
        <f t="shared" ref="I21:AF21" si="3">IF($D$16&gt;H21,H21+1,"")</f>
        <v>2</v>
      </c>
      <c r="J21" s="5">
        <f t="shared" si="3"/>
        <v>3</v>
      </c>
      <c r="K21" s="5">
        <f t="shared" si="3"/>
        <v>4</v>
      </c>
      <c r="L21" s="5">
        <f t="shared" si="3"/>
        <v>5</v>
      </c>
      <c r="M21" s="5">
        <f t="shared" si="3"/>
        <v>6</v>
      </c>
      <c r="N21" s="5">
        <f t="shared" si="3"/>
        <v>7</v>
      </c>
      <c r="O21" s="5">
        <f t="shared" si="3"/>
        <v>8</v>
      </c>
      <c r="P21" s="5" t="str">
        <f t="shared" si="3"/>
        <v/>
      </c>
      <c r="Q21" s="5" t="str">
        <f t="shared" si="3"/>
        <v/>
      </c>
      <c r="R21" s="5" t="str">
        <f t="shared" si="3"/>
        <v/>
      </c>
      <c r="S21" s="5" t="str">
        <f t="shared" si="3"/>
        <v/>
      </c>
      <c r="T21" s="5" t="str">
        <f t="shared" si="3"/>
        <v/>
      </c>
      <c r="U21" s="5" t="str">
        <f t="shared" si="3"/>
        <v/>
      </c>
      <c r="V21" s="5" t="str">
        <f t="shared" si="3"/>
        <v/>
      </c>
      <c r="W21" s="5" t="str">
        <f t="shared" si="3"/>
        <v/>
      </c>
      <c r="X21" s="5" t="str">
        <f t="shared" si="3"/>
        <v/>
      </c>
      <c r="Y21" s="5" t="str">
        <f t="shared" si="3"/>
        <v/>
      </c>
      <c r="Z21" s="5" t="str">
        <f t="shared" si="3"/>
        <v/>
      </c>
      <c r="AA21" s="5" t="str">
        <f t="shared" si="3"/>
        <v/>
      </c>
      <c r="AB21" s="5" t="str">
        <f t="shared" si="3"/>
        <v/>
      </c>
      <c r="AC21" s="5" t="str">
        <f t="shared" si="3"/>
        <v/>
      </c>
      <c r="AD21" s="5" t="str">
        <f t="shared" si="3"/>
        <v/>
      </c>
      <c r="AE21" s="5" t="str">
        <f t="shared" si="3"/>
        <v/>
      </c>
      <c r="AF21" s="5" t="str">
        <f t="shared" si="3"/>
        <v/>
      </c>
    </row>
    <row r="22" spans="2:32" ht="13.8" x14ac:dyDescent="0.3">
      <c r="B22" t="s">
        <v>56</v>
      </c>
      <c r="C22" t="s">
        <v>57</v>
      </c>
      <c r="D22" s="1" t="s">
        <v>58</v>
      </c>
      <c r="E22" t="s">
        <v>27</v>
      </c>
      <c r="F22" s="28" t="s">
        <v>59</v>
      </c>
      <c r="G22" s="1">
        <v>4</v>
      </c>
      <c r="H22" s="1">
        <v>4</v>
      </c>
      <c r="I22" s="1">
        <v>4</v>
      </c>
      <c r="J22" s="1">
        <v>3</v>
      </c>
      <c r="K22" s="1">
        <v>2</v>
      </c>
      <c r="L22" s="1">
        <v>2</v>
      </c>
      <c r="M22" s="1">
        <v>2</v>
      </c>
      <c r="N22" s="1">
        <v>1</v>
      </c>
      <c r="O22" s="1">
        <v>0</v>
      </c>
      <c r="P22" s="1">
        <v>1</v>
      </c>
      <c r="Q22" s="1">
        <v>0</v>
      </c>
      <c r="AE22" s="1" t="str">
        <f t="shared" ref="AE22:AF41" si="4">IF(OR(AE$21="",$G22=""),"",AD22)</f>
        <v/>
      </c>
      <c r="AF22" s="1" t="str">
        <f t="shared" si="4"/>
        <v/>
      </c>
    </row>
    <row r="23" spans="2:32" ht="13.8" x14ac:dyDescent="0.3">
      <c r="B23" t="s">
        <v>60</v>
      </c>
      <c r="C23" t="s">
        <v>61</v>
      </c>
      <c r="D23" s="1" t="s">
        <v>58</v>
      </c>
      <c r="E23" t="s">
        <v>27</v>
      </c>
      <c r="F23" s="28" t="s">
        <v>59</v>
      </c>
      <c r="G23" s="1">
        <v>2</v>
      </c>
      <c r="H23" s="1">
        <v>2</v>
      </c>
      <c r="I23" s="1">
        <v>2</v>
      </c>
      <c r="J23" s="1">
        <v>2</v>
      </c>
      <c r="K23" s="1">
        <v>1</v>
      </c>
      <c r="L23" s="1">
        <v>1</v>
      </c>
      <c r="M23" s="1">
        <v>1</v>
      </c>
      <c r="N23" s="1">
        <v>0</v>
      </c>
      <c r="O23" s="1">
        <v>0</v>
      </c>
      <c r="P23" s="1">
        <v>2</v>
      </c>
      <c r="Q23" s="1">
        <v>0</v>
      </c>
      <c r="AE23" s="1" t="str">
        <f t="shared" si="4"/>
        <v/>
      </c>
      <c r="AF23" s="1" t="str">
        <f t="shared" si="4"/>
        <v/>
      </c>
    </row>
    <row r="24" spans="2:32" ht="13.8" x14ac:dyDescent="0.3">
      <c r="B24" t="s">
        <v>62</v>
      </c>
      <c r="C24" t="s">
        <v>63</v>
      </c>
      <c r="D24" s="1" t="s">
        <v>58</v>
      </c>
      <c r="E24" t="s">
        <v>27</v>
      </c>
      <c r="F24" s="28" t="s">
        <v>59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0</v>
      </c>
      <c r="M24" s="1">
        <v>0</v>
      </c>
      <c r="N24" s="1">
        <v>0</v>
      </c>
      <c r="O24" s="1">
        <v>0</v>
      </c>
      <c r="P24" s="1">
        <v>1</v>
      </c>
      <c r="Q24" s="1">
        <v>0</v>
      </c>
      <c r="AE24" s="1" t="str">
        <f t="shared" si="4"/>
        <v/>
      </c>
      <c r="AF24" s="1" t="str">
        <f t="shared" si="4"/>
        <v/>
      </c>
    </row>
    <row r="25" spans="2:32" ht="13.8" x14ac:dyDescent="0.3">
      <c r="B25" t="s">
        <v>64</v>
      </c>
      <c r="C25" t="s">
        <v>65</v>
      </c>
      <c r="D25" s="1" t="s">
        <v>58</v>
      </c>
      <c r="E25" t="s">
        <v>27</v>
      </c>
      <c r="F25" s="28" t="s">
        <v>59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2</v>
      </c>
      <c r="Q25" s="1">
        <v>0</v>
      </c>
      <c r="AE25" s="1" t="str">
        <f t="shared" si="4"/>
        <v/>
      </c>
      <c r="AF25" s="1" t="str">
        <f t="shared" si="4"/>
        <v/>
      </c>
    </row>
    <row r="26" spans="2:32" ht="13.8" x14ac:dyDescent="0.3">
      <c r="B26" t="s">
        <v>66</v>
      </c>
      <c r="C26" t="s">
        <v>67</v>
      </c>
      <c r="D26" t="s">
        <v>68</v>
      </c>
      <c r="E26" t="s">
        <v>36</v>
      </c>
      <c r="F26" s="28" t="s">
        <v>59</v>
      </c>
      <c r="G26">
        <v>1</v>
      </c>
      <c r="H26" s="1">
        <v>1</v>
      </c>
      <c r="I26">
        <v>1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AE26" s="1" t="str">
        <f t="shared" si="4"/>
        <v/>
      </c>
      <c r="AF26" s="1" t="str">
        <f t="shared" si="4"/>
        <v/>
      </c>
    </row>
    <row r="27" spans="2:32" ht="13.8" x14ac:dyDescent="0.3">
      <c r="B27" t="s">
        <v>69</v>
      </c>
      <c r="C27" t="s">
        <v>70</v>
      </c>
      <c r="D27" t="s">
        <v>68</v>
      </c>
      <c r="E27" t="s">
        <v>36</v>
      </c>
      <c r="F27" s="28" t="s">
        <v>59</v>
      </c>
      <c r="G27">
        <v>4</v>
      </c>
      <c r="H27" s="1">
        <v>4</v>
      </c>
      <c r="I27">
        <v>4</v>
      </c>
      <c r="J27">
        <v>3</v>
      </c>
      <c r="K27">
        <v>2</v>
      </c>
      <c r="L27">
        <v>2</v>
      </c>
      <c r="M27">
        <v>2</v>
      </c>
      <c r="N27">
        <v>1</v>
      </c>
      <c r="O27">
        <v>0</v>
      </c>
      <c r="AE27" s="1" t="str">
        <f t="shared" si="4"/>
        <v/>
      </c>
      <c r="AF27" s="1" t="str">
        <f t="shared" si="4"/>
        <v/>
      </c>
    </row>
    <row r="28" spans="2:32" ht="13.8" x14ac:dyDescent="0.3">
      <c r="B28" t="s">
        <v>71</v>
      </c>
      <c r="C28" t="s">
        <v>72</v>
      </c>
      <c r="D28" t="s">
        <v>68</v>
      </c>
      <c r="E28" t="s">
        <v>36</v>
      </c>
      <c r="F28" s="28" t="s">
        <v>59</v>
      </c>
      <c r="G28">
        <v>1</v>
      </c>
      <c r="H28" s="1">
        <v>1</v>
      </c>
      <c r="I28">
        <v>1</v>
      </c>
      <c r="J28">
        <v>1</v>
      </c>
      <c r="K28">
        <v>1</v>
      </c>
      <c r="L28">
        <v>0</v>
      </c>
      <c r="M28">
        <v>0</v>
      </c>
      <c r="N28">
        <v>0</v>
      </c>
      <c r="O28">
        <v>0</v>
      </c>
      <c r="AE28" s="1" t="str">
        <f t="shared" si="4"/>
        <v/>
      </c>
      <c r="AF28" s="1" t="str">
        <f t="shared" si="4"/>
        <v/>
      </c>
    </row>
    <row r="29" spans="2:32" ht="13.8" x14ac:dyDescent="0.3">
      <c r="B29" t="s">
        <v>73</v>
      </c>
      <c r="C29" t="s">
        <v>74</v>
      </c>
      <c r="D29" t="s">
        <v>68</v>
      </c>
      <c r="E29" t="s">
        <v>36</v>
      </c>
      <c r="F29" s="28" t="s">
        <v>59</v>
      </c>
      <c r="G29">
        <v>2</v>
      </c>
      <c r="H29" s="1">
        <v>2</v>
      </c>
      <c r="I29">
        <v>2</v>
      </c>
      <c r="J29">
        <v>2</v>
      </c>
      <c r="K29">
        <v>1</v>
      </c>
      <c r="L29">
        <v>1</v>
      </c>
      <c r="M29">
        <v>1</v>
      </c>
      <c r="N29">
        <v>0</v>
      </c>
      <c r="O29">
        <v>0</v>
      </c>
      <c r="AE29" s="1" t="str">
        <f t="shared" si="4"/>
        <v/>
      </c>
      <c r="AF29" s="1" t="str">
        <f t="shared" si="4"/>
        <v/>
      </c>
    </row>
    <row r="30" spans="2:32" ht="13.8" x14ac:dyDescent="0.3">
      <c r="B30" t="s">
        <v>75</v>
      </c>
      <c r="C30" t="s">
        <v>76</v>
      </c>
      <c r="D30" t="s">
        <v>77</v>
      </c>
      <c r="E30" t="s">
        <v>42</v>
      </c>
      <c r="F30" s="28" t="s">
        <v>59</v>
      </c>
      <c r="G30">
        <v>3</v>
      </c>
      <c r="H30" s="1">
        <v>3</v>
      </c>
      <c r="I30">
        <v>3</v>
      </c>
      <c r="J30">
        <v>2</v>
      </c>
      <c r="K30">
        <v>2</v>
      </c>
      <c r="L30">
        <v>2</v>
      </c>
      <c r="M30">
        <v>1</v>
      </c>
      <c r="N30">
        <v>1</v>
      </c>
      <c r="O30">
        <v>0</v>
      </c>
      <c r="AE30" s="1" t="str">
        <f t="shared" si="4"/>
        <v/>
      </c>
      <c r="AF30" s="1" t="str">
        <f t="shared" si="4"/>
        <v/>
      </c>
    </row>
    <row r="31" spans="2:32" ht="13.8" x14ac:dyDescent="0.3">
      <c r="B31" t="s">
        <v>78</v>
      </c>
      <c r="C31" t="s">
        <v>79</v>
      </c>
      <c r="D31" t="s">
        <v>77</v>
      </c>
      <c r="E31" t="s">
        <v>42</v>
      </c>
      <c r="F31" s="28" t="s">
        <v>59</v>
      </c>
      <c r="G31">
        <v>2</v>
      </c>
      <c r="H31" s="1">
        <v>2</v>
      </c>
      <c r="I31">
        <v>2</v>
      </c>
      <c r="J31">
        <v>2</v>
      </c>
      <c r="K31">
        <v>1</v>
      </c>
      <c r="L31">
        <v>1</v>
      </c>
      <c r="M31">
        <v>1</v>
      </c>
      <c r="N31">
        <v>0</v>
      </c>
      <c r="O31">
        <v>0</v>
      </c>
      <c r="AE31" s="1" t="str">
        <f t="shared" si="4"/>
        <v/>
      </c>
      <c r="AF31" s="1" t="str">
        <f t="shared" si="4"/>
        <v/>
      </c>
    </row>
    <row r="32" spans="2:32" ht="13.8" x14ac:dyDescent="0.3">
      <c r="B32" t="s">
        <v>80</v>
      </c>
      <c r="C32" t="s">
        <v>81</v>
      </c>
      <c r="D32" t="s">
        <v>77</v>
      </c>
      <c r="E32" t="s">
        <v>42</v>
      </c>
      <c r="F32" s="28" t="s">
        <v>59</v>
      </c>
      <c r="G32">
        <v>1</v>
      </c>
      <c r="H32" s="1">
        <v>1</v>
      </c>
      <c r="I32">
        <v>1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AE32" s="1" t="str">
        <f t="shared" si="4"/>
        <v/>
      </c>
      <c r="AF32" s="1" t="str">
        <f t="shared" si="4"/>
        <v/>
      </c>
    </row>
    <row r="33" spans="2:32" ht="13.8" x14ac:dyDescent="0.3">
      <c r="B33" t="s">
        <v>82</v>
      </c>
      <c r="C33" t="s">
        <v>83</v>
      </c>
      <c r="D33" t="s">
        <v>77</v>
      </c>
      <c r="E33" t="s">
        <v>42</v>
      </c>
      <c r="F33" s="28" t="s">
        <v>59</v>
      </c>
      <c r="G33">
        <v>2</v>
      </c>
      <c r="H33" s="1">
        <v>2</v>
      </c>
      <c r="I33">
        <v>2</v>
      </c>
      <c r="J33">
        <v>2</v>
      </c>
      <c r="K33">
        <v>1</v>
      </c>
      <c r="L33">
        <v>1</v>
      </c>
      <c r="M33">
        <v>1</v>
      </c>
      <c r="N33">
        <v>0</v>
      </c>
      <c r="O33">
        <v>0</v>
      </c>
      <c r="AE33" s="1" t="str">
        <f t="shared" si="4"/>
        <v/>
      </c>
      <c r="AF33" s="1" t="str">
        <f t="shared" si="4"/>
        <v/>
      </c>
    </row>
    <row r="34" spans="2:32" ht="13.8" x14ac:dyDescent="0.3">
      <c r="B34" t="s">
        <v>84</v>
      </c>
      <c r="C34" t="s">
        <v>85</v>
      </c>
      <c r="D34" t="s">
        <v>86</v>
      </c>
      <c r="E34" t="s">
        <v>48</v>
      </c>
      <c r="F34" s="28" t="s">
        <v>59</v>
      </c>
      <c r="G34">
        <v>4</v>
      </c>
      <c r="H34" s="1">
        <v>4</v>
      </c>
      <c r="I34">
        <v>4</v>
      </c>
      <c r="J34">
        <v>3</v>
      </c>
      <c r="K34">
        <v>2</v>
      </c>
      <c r="L34">
        <v>2</v>
      </c>
      <c r="M34">
        <v>2</v>
      </c>
      <c r="N34">
        <v>1</v>
      </c>
      <c r="O34">
        <v>0</v>
      </c>
      <c r="AE34" s="1" t="str">
        <f t="shared" si="4"/>
        <v/>
      </c>
      <c r="AF34" s="1" t="str">
        <f t="shared" si="4"/>
        <v/>
      </c>
    </row>
    <row r="35" spans="2:32" ht="13.8" x14ac:dyDescent="0.3">
      <c r="B35" t="s">
        <v>87</v>
      </c>
      <c r="C35" t="s">
        <v>88</v>
      </c>
      <c r="D35" t="s">
        <v>86</v>
      </c>
      <c r="E35" t="s">
        <v>48</v>
      </c>
      <c r="F35" s="28" t="s">
        <v>59</v>
      </c>
      <c r="G35">
        <v>2</v>
      </c>
      <c r="H35" s="1">
        <v>2</v>
      </c>
      <c r="I35">
        <v>2</v>
      </c>
      <c r="J35">
        <v>2</v>
      </c>
      <c r="K35">
        <v>1</v>
      </c>
      <c r="L35">
        <v>1</v>
      </c>
      <c r="M35">
        <v>1</v>
      </c>
      <c r="N35">
        <v>0</v>
      </c>
      <c r="O35">
        <v>0</v>
      </c>
      <c r="AE35" s="1" t="str">
        <f t="shared" si="4"/>
        <v/>
      </c>
      <c r="AF35" s="1" t="str">
        <f t="shared" si="4"/>
        <v/>
      </c>
    </row>
    <row r="36" spans="2:32" ht="13.8" x14ac:dyDescent="0.3">
      <c r="B36" t="s">
        <v>89</v>
      </c>
      <c r="C36" t="s">
        <v>90</v>
      </c>
      <c r="D36" t="s">
        <v>86</v>
      </c>
      <c r="E36" t="s">
        <v>48</v>
      </c>
      <c r="F36" s="28" t="s">
        <v>59</v>
      </c>
      <c r="G36">
        <v>1</v>
      </c>
      <c r="H36" s="1">
        <v>1</v>
      </c>
      <c r="I36">
        <v>1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AE36" s="1" t="str">
        <f t="shared" si="4"/>
        <v/>
      </c>
      <c r="AF36" s="1" t="str">
        <f t="shared" si="4"/>
        <v/>
      </c>
    </row>
    <row r="37" spans="2:32" ht="13.8" x14ac:dyDescent="0.3">
      <c r="B37" t="s">
        <v>91</v>
      </c>
      <c r="C37" t="s">
        <v>92</v>
      </c>
      <c r="D37" t="s">
        <v>86</v>
      </c>
      <c r="E37" t="s">
        <v>48</v>
      </c>
      <c r="F37" s="28" t="s">
        <v>59</v>
      </c>
      <c r="G37">
        <v>1</v>
      </c>
      <c r="H37" s="1">
        <v>1</v>
      </c>
      <c r="I37">
        <v>1</v>
      </c>
      <c r="J37">
        <v>1</v>
      </c>
      <c r="K37">
        <v>1</v>
      </c>
      <c r="L37">
        <v>0</v>
      </c>
      <c r="M37">
        <v>0</v>
      </c>
      <c r="N37">
        <v>0</v>
      </c>
      <c r="O37">
        <v>0</v>
      </c>
      <c r="AE37" s="1" t="str">
        <f t="shared" si="4"/>
        <v/>
      </c>
      <c r="AF37" s="1" t="str">
        <f t="shared" si="4"/>
        <v/>
      </c>
    </row>
    <row r="38" spans="2:32" x14ac:dyDescent="0.25">
      <c r="F38" t="str">
        <f t="shared" ref="F38:F63" si="5">IF(C38&lt;&gt;"","Planned","")</f>
        <v/>
      </c>
      <c r="H38" s="1" t="str">
        <f t="shared" ref="H38:H66" si="6">IF(OR(H$21="",$G38=""),"",G38)</f>
        <v/>
      </c>
      <c r="AE38" s="1" t="str">
        <f t="shared" si="4"/>
        <v/>
      </c>
      <c r="AF38" s="1" t="str">
        <f t="shared" si="4"/>
        <v/>
      </c>
    </row>
    <row r="39" spans="2:32" x14ac:dyDescent="0.25">
      <c r="F39" t="str">
        <f t="shared" si="5"/>
        <v/>
      </c>
      <c r="H39" s="1" t="str">
        <f t="shared" si="6"/>
        <v/>
      </c>
      <c r="AE39" s="1" t="str">
        <f t="shared" si="4"/>
        <v/>
      </c>
      <c r="AF39" s="1" t="str">
        <f t="shared" si="4"/>
        <v/>
      </c>
    </row>
    <row r="40" spans="2:32" x14ac:dyDescent="0.25">
      <c r="F40" t="str">
        <f t="shared" si="5"/>
        <v/>
      </c>
      <c r="H40" s="1" t="str">
        <f t="shared" si="6"/>
        <v/>
      </c>
      <c r="AE40" s="1" t="str">
        <f t="shared" si="4"/>
        <v/>
      </c>
      <c r="AF40" s="1" t="str">
        <f t="shared" si="4"/>
        <v/>
      </c>
    </row>
    <row r="41" spans="2:32" x14ac:dyDescent="0.25">
      <c r="F41" t="str">
        <f t="shared" si="5"/>
        <v/>
      </c>
      <c r="H41" s="1" t="str">
        <f t="shared" si="6"/>
        <v/>
      </c>
      <c r="AE41" s="1" t="str">
        <f t="shared" si="4"/>
        <v/>
      </c>
      <c r="AF41" s="1" t="str">
        <f t="shared" si="4"/>
        <v/>
      </c>
    </row>
    <row r="42" spans="2:32" x14ac:dyDescent="0.25">
      <c r="F42" t="str">
        <f t="shared" si="5"/>
        <v/>
      </c>
      <c r="H42" s="1" t="str">
        <f t="shared" si="6"/>
        <v/>
      </c>
      <c r="AE42" s="1" t="str">
        <f t="shared" ref="AE42:AF61" si="7">IF(OR(AE$21="",$G42=""),"",AD42)</f>
        <v/>
      </c>
      <c r="AF42" s="1" t="str">
        <f t="shared" si="7"/>
        <v/>
      </c>
    </row>
    <row r="43" spans="2:32" x14ac:dyDescent="0.25">
      <c r="F43" t="str">
        <f t="shared" si="5"/>
        <v/>
      </c>
      <c r="H43" s="1" t="str">
        <f t="shared" si="6"/>
        <v/>
      </c>
      <c r="AE43" s="1" t="str">
        <f t="shared" si="7"/>
        <v/>
      </c>
      <c r="AF43" s="1" t="str">
        <f t="shared" si="7"/>
        <v/>
      </c>
    </row>
    <row r="44" spans="2:32" x14ac:dyDescent="0.25">
      <c r="F44" t="str">
        <f t="shared" si="5"/>
        <v/>
      </c>
      <c r="H44" s="1" t="str">
        <f t="shared" si="6"/>
        <v/>
      </c>
      <c r="AE44" s="1" t="str">
        <f t="shared" si="7"/>
        <v/>
      </c>
      <c r="AF44" s="1" t="str">
        <f t="shared" si="7"/>
        <v/>
      </c>
    </row>
    <row r="45" spans="2:32" x14ac:dyDescent="0.25">
      <c r="F45" t="str">
        <f t="shared" si="5"/>
        <v/>
      </c>
      <c r="H45" s="1" t="str">
        <f t="shared" si="6"/>
        <v/>
      </c>
      <c r="AE45" s="1" t="str">
        <f t="shared" si="7"/>
        <v/>
      </c>
      <c r="AF45" s="1" t="str">
        <f t="shared" si="7"/>
        <v/>
      </c>
    </row>
    <row r="46" spans="2:32" x14ac:dyDescent="0.25">
      <c r="F46" t="str">
        <f t="shared" si="5"/>
        <v/>
      </c>
      <c r="H46" s="1" t="str">
        <f t="shared" si="6"/>
        <v/>
      </c>
      <c r="AE46" s="1" t="str">
        <f t="shared" si="7"/>
        <v/>
      </c>
      <c r="AF46" s="1" t="str">
        <f t="shared" si="7"/>
        <v/>
      </c>
    </row>
    <row r="47" spans="2:32" x14ac:dyDescent="0.25">
      <c r="F47" t="str">
        <f t="shared" si="5"/>
        <v/>
      </c>
      <c r="H47" s="1" t="str">
        <f t="shared" si="6"/>
        <v/>
      </c>
      <c r="AE47" s="1" t="str">
        <f t="shared" si="7"/>
        <v/>
      </c>
      <c r="AF47" s="1" t="str">
        <f t="shared" si="7"/>
        <v/>
      </c>
    </row>
    <row r="48" spans="2:32" x14ac:dyDescent="0.25">
      <c r="F48" t="str">
        <f t="shared" si="5"/>
        <v/>
      </c>
      <c r="H48" s="1" t="str">
        <f t="shared" si="6"/>
        <v/>
      </c>
      <c r="AE48" s="1" t="str">
        <f t="shared" si="7"/>
        <v/>
      </c>
      <c r="AF48" s="1" t="str">
        <f t="shared" si="7"/>
        <v/>
      </c>
    </row>
    <row r="49" spans="6:32" x14ac:dyDescent="0.25">
      <c r="F49" t="str">
        <f t="shared" si="5"/>
        <v/>
      </c>
      <c r="H49" s="1" t="str">
        <f t="shared" si="6"/>
        <v/>
      </c>
      <c r="AE49" s="1" t="str">
        <f t="shared" si="7"/>
        <v/>
      </c>
      <c r="AF49" s="1" t="str">
        <f t="shared" si="7"/>
        <v/>
      </c>
    </row>
    <row r="50" spans="6:32" x14ac:dyDescent="0.25">
      <c r="F50" t="str">
        <f t="shared" si="5"/>
        <v/>
      </c>
      <c r="H50" s="1" t="str">
        <f t="shared" si="6"/>
        <v/>
      </c>
      <c r="AE50" s="1" t="str">
        <f t="shared" si="7"/>
        <v/>
      </c>
      <c r="AF50" s="1" t="str">
        <f t="shared" si="7"/>
        <v/>
      </c>
    </row>
    <row r="51" spans="6:32" x14ac:dyDescent="0.25">
      <c r="F51" t="str">
        <f t="shared" si="5"/>
        <v/>
      </c>
      <c r="H51" s="1" t="str">
        <f t="shared" si="6"/>
        <v/>
      </c>
      <c r="AE51" s="1" t="str">
        <f t="shared" si="7"/>
        <v/>
      </c>
      <c r="AF51" s="1" t="str">
        <f t="shared" si="7"/>
        <v/>
      </c>
    </row>
    <row r="52" spans="6:32" x14ac:dyDescent="0.25">
      <c r="F52" t="str">
        <f t="shared" si="5"/>
        <v/>
      </c>
      <c r="H52" s="1" t="str">
        <f t="shared" si="6"/>
        <v/>
      </c>
      <c r="AE52" s="1" t="str">
        <f t="shared" si="7"/>
        <v/>
      </c>
      <c r="AF52" s="1" t="str">
        <f t="shared" si="7"/>
        <v/>
      </c>
    </row>
    <row r="53" spans="6:32" x14ac:dyDescent="0.25">
      <c r="F53" t="str">
        <f t="shared" si="5"/>
        <v/>
      </c>
      <c r="H53" s="1" t="str">
        <f t="shared" si="6"/>
        <v/>
      </c>
      <c r="AE53" s="1" t="str">
        <f t="shared" si="7"/>
        <v/>
      </c>
      <c r="AF53" s="1" t="str">
        <f t="shared" si="7"/>
        <v/>
      </c>
    </row>
    <row r="54" spans="6:32" x14ac:dyDescent="0.25">
      <c r="F54" t="str">
        <f t="shared" si="5"/>
        <v/>
      </c>
      <c r="H54" s="1" t="str">
        <f t="shared" si="6"/>
        <v/>
      </c>
      <c r="AE54" s="1" t="str">
        <f t="shared" si="7"/>
        <v/>
      </c>
      <c r="AF54" s="1" t="str">
        <f t="shared" si="7"/>
        <v/>
      </c>
    </row>
    <row r="55" spans="6:32" x14ac:dyDescent="0.25">
      <c r="F55" t="str">
        <f t="shared" si="5"/>
        <v/>
      </c>
      <c r="H55" s="1" t="str">
        <f t="shared" si="6"/>
        <v/>
      </c>
      <c r="AE55" s="1" t="str">
        <f t="shared" si="7"/>
        <v/>
      </c>
      <c r="AF55" s="1" t="str">
        <f t="shared" si="7"/>
        <v/>
      </c>
    </row>
    <row r="56" spans="6:32" x14ac:dyDescent="0.25">
      <c r="F56" t="str">
        <f t="shared" si="5"/>
        <v/>
      </c>
      <c r="H56" s="1" t="str">
        <f t="shared" si="6"/>
        <v/>
      </c>
      <c r="AE56" s="1" t="str">
        <f t="shared" si="7"/>
        <v/>
      </c>
      <c r="AF56" s="1" t="str">
        <f t="shared" si="7"/>
        <v/>
      </c>
    </row>
    <row r="57" spans="6:32" x14ac:dyDescent="0.25">
      <c r="F57" t="str">
        <f t="shared" si="5"/>
        <v/>
      </c>
      <c r="H57" s="1" t="str">
        <f t="shared" si="6"/>
        <v/>
      </c>
      <c r="AE57" s="1" t="str">
        <f t="shared" si="7"/>
        <v/>
      </c>
      <c r="AF57" s="1" t="str">
        <f t="shared" si="7"/>
        <v/>
      </c>
    </row>
    <row r="58" spans="6:32" x14ac:dyDescent="0.25">
      <c r="F58" t="str">
        <f t="shared" si="5"/>
        <v/>
      </c>
      <c r="H58" s="1" t="str">
        <f t="shared" si="6"/>
        <v/>
      </c>
      <c r="AE58" s="1" t="str">
        <f t="shared" si="7"/>
        <v/>
      </c>
      <c r="AF58" s="1" t="str">
        <f t="shared" si="7"/>
        <v/>
      </c>
    </row>
    <row r="59" spans="6:32" x14ac:dyDescent="0.25">
      <c r="F59" t="str">
        <f t="shared" si="5"/>
        <v/>
      </c>
      <c r="H59" s="1" t="str">
        <f t="shared" si="6"/>
        <v/>
      </c>
      <c r="AE59" s="1" t="str">
        <f t="shared" si="7"/>
        <v/>
      </c>
      <c r="AF59" s="1" t="str">
        <f t="shared" si="7"/>
        <v/>
      </c>
    </row>
    <row r="60" spans="6:32" x14ac:dyDescent="0.25">
      <c r="F60" t="str">
        <f t="shared" si="5"/>
        <v/>
      </c>
      <c r="H60" s="1" t="str">
        <f t="shared" si="6"/>
        <v/>
      </c>
      <c r="AE60" s="1" t="str">
        <f t="shared" si="7"/>
        <v/>
      </c>
      <c r="AF60" s="1" t="str">
        <f t="shared" si="7"/>
        <v/>
      </c>
    </row>
    <row r="61" spans="6:32" x14ac:dyDescent="0.25">
      <c r="F61" t="str">
        <f t="shared" si="5"/>
        <v/>
      </c>
      <c r="H61" s="1" t="str">
        <f t="shared" si="6"/>
        <v/>
      </c>
      <c r="AE61" s="1" t="str">
        <f t="shared" si="7"/>
        <v/>
      </c>
      <c r="AF61" s="1" t="str">
        <f t="shared" si="7"/>
        <v/>
      </c>
    </row>
    <row r="62" spans="6:32" x14ac:dyDescent="0.25">
      <c r="F62" t="str">
        <f t="shared" si="5"/>
        <v/>
      </c>
      <c r="H62" s="1" t="str">
        <f t="shared" si="6"/>
        <v/>
      </c>
      <c r="I62" s="1" t="str">
        <f t="shared" ref="I62:AD62" si="8">IF(OR(I$21="",$G62=""),"",H62)</f>
        <v/>
      </c>
      <c r="J62" s="1" t="str">
        <f t="shared" si="8"/>
        <v/>
      </c>
      <c r="K62" s="1" t="str">
        <f t="shared" si="8"/>
        <v/>
      </c>
      <c r="L62" s="1" t="str">
        <f t="shared" si="8"/>
        <v/>
      </c>
      <c r="M62" s="1" t="str">
        <f t="shared" si="8"/>
        <v/>
      </c>
      <c r="N62" s="1" t="str">
        <f t="shared" si="8"/>
        <v/>
      </c>
      <c r="O62" s="1" t="str">
        <f t="shared" si="8"/>
        <v/>
      </c>
      <c r="P62" s="1" t="str">
        <f t="shared" si="8"/>
        <v/>
      </c>
      <c r="Q62" s="1" t="str">
        <f t="shared" si="8"/>
        <v/>
      </c>
      <c r="R62" s="1" t="str">
        <f t="shared" si="8"/>
        <v/>
      </c>
      <c r="S62" s="1" t="str">
        <f t="shared" si="8"/>
        <v/>
      </c>
      <c r="T62" s="1" t="str">
        <f t="shared" si="8"/>
        <v/>
      </c>
      <c r="U62" s="1" t="str">
        <f t="shared" si="8"/>
        <v/>
      </c>
      <c r="V62" s="1" t="str">
        <f t="shared" si="8"/>
        <v/>
      </c>
      <c r="W62" s="1" t="str">
        <f t="shared" si="8"/>
        <v/>
      </c>
      <c r="X62" s="1" t="str">
        <f t="shared" si="8"/>
        <v/>
      </c>
      <c r="Y62" s="1" t="str">
        <f t="shared" si="8"/>
        <v/>
      </c>
      <c r="Z62" s="1" t="str">
        <f t="shared" si="8"/>
        <v/>
      </c>
      <c r="AA62" s="1" t="str">
        <f t="shared" si="8"/>
        <v/>
      </c>
      <c r="AB62" s="1" t="str">
        <f t="shared" si="8"/>
        <v/>
      </c>
      <c r="AC62" s="1" t="str">
        <f t="shared" si="8"/>
        <v/>
      </c>
      <c r="AD62" s="1" t="str">
        <f t="shared" si="8"/>
        <v/>
      </c>
      <c r="AE62" s="1" t="str">
        <f t="shared" ref="AE62:AF81" si="9">IF(OR(AE$21="",$G62=""),"",AD62)</f>
        <v/>
      </c>
      <c r="AF62" s="1" t="str">
        <f t="shared" si="9"/>
        <v/>
      </c>
    </row>
    <row r="63" spans="6:32" x14ac:dyDescent="0.25">
      <c r="F63" t="str">
        <f t="shared" si="5"/>
        <v/>
      </c>
      <c r="H63" s="1" t="str">
        <f t="shared" si="6"/>
        <v/>
      </c>
      <c r="I63" s="1" t="str">
        <f t="shared" ref="I63:AD63" si="10">IF(OR(I$21="",$G63=""),"",H63)</f>
        <v/>
      </c>
      <c r="J63" s="1" t="str">
        <f t="shared" si="10"/>
        <v/>
      </c>
      <c r="K63" s="1" t="str">
        <f t="shared" si="10"/>
        <v/>
      </c>
      <c r="L63" s="1" t="str">
        <f t="shared" si="10"/>
        <v/>
      </c>
      <c r="M63" s="1" t="str">
        <f t="shared" si="10"/>
        <v/>
      </c>
      <c r="N63" s="1" t="str">
        <f t="shared" si="10"/>
        <v/>
      </c>
      <c r="O63" s="1" t="str">
        <f t="shared" si="10"/>
        <v/>
      </c>
      <c r="P63" s="1" t="str">
        <f t="shared" si="10"/>
        <v/>
      </c>
      <c r="Q63" s="1" t="str">
        <f t="shared" si="10"/>
        <v/>
      </c>
      <c r="R63" s="1" t="str">
        <f t="shared" si="10"/>
        <v/>
      </c>
      <c r="S63" s="1" t="str">
        <f t="shared" si="10"/>
        <v/>
      </c>
      <c r="T63" s="1" t="str">
        <f t="shared" si="10"/>
        <v/>
      </c>
      <c r="U63" s="1" t="str">
        <f t="shared" si="10"/>
        <v/>
      </c>
      <c r="V63" s="1" t="str">
        <f t="shared" si="10"/>
        <v/>
      </c>
      <c r="W63" s="1" t="str">
        <f t="shared" si="10"/>
        <v/>
      </c>
      <c r="X63" s="1" t="str">
        <f t="shared" si="10"/>
        <v/>
      </c>
      <c r="Y63" s="1" t="str">
        <f t="shared" si="10"/>
        <v/>
      </c>
      <c r="Z63" s="1" t="str">
        <f t="shared" si="10"/>
        <v/>
      </c>
      <c r="AA63" s="1" t="str">
        <f t="shared" si="10"/>
        <v/>
      </c>
      <c r="AB63" s="1" t="str">
        <f t="shared" si="10"/>
        <v/>
      </c>
      <c r="AC63" s="1" t="str">
        <f t="shared" si="10"/>
        <v/>
      </c>
      <c r="AD63" s="1" t="str">
        <f t="shared" si="10"/>
        <v/>
      </c>
      <c r="AE63" s="1" t="str">
        <f t="shared" si="9"/>
        <v/>
      </c>
      <c r="AF63" s="1" t="str">
        <f t="shared" si="9"/>
        <v/>
      </c>
    </row>
    <row r="64" spans="6:32" x14ac:dyDescent="0.25">
      <c r="F64" t="s">
        <v>53</v>
      </c>
      <c r="H64" s="1" t="str">
        <f t="shared" si="6"/>
        <v/>
      </c>
      <c r="AE64" s="1" t="str">
        <f t="shared" si="9"/>
        <v/>
      </c>
      <c r="AF64" s="1" t="str">
        <f t="shared" si="9"/>
        <v/>
      </c>
    </row>
    <row r="65" spans="6:32" x14ac:dyDescent="0.25">
      <c r="F65" t="s">
        <v>54</v>
      </c>
      <c r="H65" s="1" t="str">
        <f t="shared" si="6"/>
        <v/>
      </c>
      <c r="AE65" s="1" t="str">
        <f t="shared" si="9"/>
        <v/>
      </c>
      <c r="AF65" s="1" t="str">
        <f t="shared" si="9"/>
        <v/>
      </c>
    </row>
    <row r="66" spans="6:32" x14ac:dyDescent="0.25">
      <c r="F66" t="s">
        <v>55</v>
      </c>
      <c r="H66" s="1" t="str">
        <f t="shared" si="6"/>
        <v/>
      </c>
    </row>
    <row r="71" spans="6:32" s="1" customFormat="1" x14ac:dyDescent="0.25">
      <c r="F71" t="str">
        <f>IF(C71&lt;&gt;"","Planned","")</f>
        <v/>
      </c>
    </row>
  </sheetData>
  <mergeCells count="3">
    <mergeCell ref="D4:H4"/>
    <mergeCell ref="D5:H5"/>
    <mergeCell ref="D3:H3"/>
  </mergeCells>
  <conditionalFormatting sqref="B22:AF65">
    <cfRule type="expression" dxfId="7" priority="3" stopIfTrue="1">
      <formula>$F22="Terminado"</formula>
    </cfRule>
    <cfRule type="expression" dxfId="6" priority="4" stopIfTrue="1">
      <formula>$F22="En Progreso"</formula>
    </cfRule>
  </conditionalFormatting>
  <conditionalFormatting sqref="L22:AF25 C26:AF65">
    <cfRule type="expression" dxfId="5" priority="1" stopIfTrue="1">
      <formula>$F22="Done"</formula>
    </cfRule>
    <cfRule type="expression" dxfId="4" priority="2" stopIfTrue="1">
      <formula>$F22="Ongoing"</formula>
    </cfRule>
  </conditionalFormatting>
  <dataValidations count="1">
    <dataValidation type="list" allowBlank="1" showInputMessage="1" sqref="F10:F15 F22:F71" xr:uid="{00000000-0002-0000-0100-000000000000}">
      <formula1>"Por Hacer,En Progreso,Terminado"</formula1>
    </dataValidation>
  </dataValidations>
  <pageMargins left="0.75" right="0.75" top="1" bottom="1" header="0.5" footer="0.5"/>
  <pageSetup paperSize="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1:AF71"/>
  <sheetViews>
    <sheetView workbookViewId="0">
      <selection activeCell="D3" sqref="D3:H3"/>
    </sheetView>
  </sheetViews>
  <sheetFormatPr defaultColWidth="9.109375" defaultRowHeight="13.2" x14ac:dyDescent="0.25"/>
  <cols>
    <col min="1" max="1" width="3.33203125" customWidth="1"/>
    <col min="2" max="2" width="9.109375" customWidth="1"/>
    <col min="3" max="3" width="38.44140625" customWidth="1"/>
    <col min="4" max="4" width="10.6640625" style="1" customWidth="1"/>
    <col min="5" max="5" width="13.6640625" customWidth="1"/>
    <col min="6" max="6" width="10.88671875" customWidth="1"/>
    <col min="7" max="7" width="9.5546875" style="1" customWidth="1"/>
    <col min="8" max="32" width="4.44140625" style="1" customWidth="1"/>
  </cols>
  <sheetData>
    <row r="1" spans="2:32" ht="13.5" customHeight="1" thickBot="1" x14ac:dyDescent="0.3"/>
    <row r="2" spans="2:32" ht="10.5" customHeight="1" x14ac:dyDescent="0.25">
      <c r="B2" s="12"/>
      <c r="C2" s="13"/>
      <c r="D2" s="14"/>
      <c r="E2" s="15"/>
      <c r="F2" s="15"/>
      <c r="G2" s="15"/>
      <c r="H2" s="15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4"/>
      <c r="W2" s="15"/>
      <c r="X2" s="15"/>
      <c r="Y2" s="15"/>
      <c r="Z2" s="15"/>
      <c r="AA2" s="15"/>
      <c r="AB2" s="15"/>
      <c r="AC2" s="15"/>
      <c r="AD2" s="15"/>
      <c r="AE2" s="15"/>
      <c r="AF2" s="16"/>
    </row>
    <row r="3" spans="2:32" ht="15" customHeight="1" x14ac:dyDescent="0.25">
      <c r="B3" s="17"/>
      <c r="C3" s="10" t="s">
        <v>0</v>
      </c>
      <c r="D3" s="29" t="s">
        <v>1</v>
      </c>
      <c r="E3" s="30"/>
      <c r="F3" s="30"/>
      <c r="G3" s="30"/>
      <c r="H3" s="31"/>
      <c r="I3" s="9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9"/>
      <c r="W3" s="11"/>
      <c r="X3" s="11"/>
      <c r="Y3" s="11"/>
      <c r="Z3" s="11"/>
      <c r="AA3" s="11"/>
      <c r="AB3" s="11"/>
      <c r="AC3" s="11"/>
      <c r="AD3" s="11"/>
      <c r="AE3" s="11"/>
      <c r="AF3" s="18"/>
    </row>
    <row r="4" spans="2:32" ht="15" customHeight="1" x14ac:dyDescent="0.25">
      <c r="B4" s="17"/>
      <c r="C4" s="10" t="s">
        <v>2</v>
      </c>
      <c r="D4" s="29" t="s">
        <v>3</v>
      </c>
      <c r="E4" s="30"/>
      <c r="F4" s="30"/>
      <c r="G4" s="30"/>
      <c r="H4" s="31"/>
      <c r="I4" s="9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9"/>
      <c r="W4" s="11"/>
      <c r="X4" s="11"/>
      <c r="Y4" s="11"/>
      <c r="Z4" s="11"/>
      <c r="AA4" s="11"/>
      <c r="AB4" s="11"/>
      <c r="AC4" s="11"/>
      <c r="AD4" s="11"/>
      <c r="AE4" s="11"/>
      <c r="AF4" s="18"/>
    </row>
    <row r="5" spans="2:32" ht="15" customHeight="1" x14ac:dyDescent="0.25">
      <c r="B5" s="17"/>
      <c r="C5" s="10" t="s">
        <v>4</v>
      </c>
      <c r="D5" s="29" t="s">
        <v>5</v>
      </c>
      <c r="E5" s="30"/>
      <c r="F5" s="30"/>
      <c r="G5" s="30"/>
      <c r="H5" s="31"/>
      <c r="I5" s="9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9"/>
      <c r="W5" s="11"/>
      <c r="X5" s="11"/>
      <c r="Y5" s="11"/>
      <c r="Z5" s="11"/>
      <c r="AA5" s="11"/>
      <c r="AB5" s="11"/>
      <c r="AC5" s="11"/>
      <c r="AD5" s="11"/>
      <c r="AE5" s="11"/>
      <c r="AF5" s="18"/>
    </row>
    <row r="6" spans="2:32" ht="15" customHeight="1" thickBot="1" x14ac:dyDescent="0.3">
      <c r="B6" s="19"/>
      <c r="C6" s="20"/>
      <c r="D6" s="21"/>
      <c r="E6" s="21"/>
      <c r="F6" s="21"/>
      <c r="G6" s="21"/>
      <c r="H6" s="21"/>
      <c r="I6" s="22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2"/>
      <c r="W6" s="23"/>
      <c r="X6" s="23"/>
      <c r="Y6" s="23"/>
      <c r="Z6" s="23"/>
      <c r="AA6" s="23"/>
      <c r="AB6" s="23"/>
      <c r="AC6" s="23"/>
      <c r="AD6" s="23"/>
      <c r="AE6" s="23"/>
      <c r="AF6" s="24"/>
    </row>
    <row r="7" spans="2:32" ht="10.5" customHeight="1" x14ac:dyDescent="0.25">
      <c r="B7" s="25"/>
      <c r="D7" s="26"/>
      <c r="E7" s="26"/>
      <c r="F7" s="26"/>
      <c r="G7" s="26"/>
      <c r="H7" s="26"/>
      <c r="I7" s="25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5"/>
      <c r="W7" s="27"/>
      <c r="X7" s="27"/>
      <c r="Y7" s="27"/>
      <c r="Z7" s="27"/>
      <c r="AA7" s="27"/>
      <c r="AB7" s="27"/>
      <c r="AC7" s="27"/>
      <c r="AD7" s="27"/>
      <c r="AE7" s="27"/>
      <c r="AF7" s="27"/>
    </row>
    <row r="8" spans="2:32" ht="18" customHeight="1" x14ac:dyDescent="0.3">
      <c r="C8" s="6">
        <v>3</v>
      </c>
      <c r="D8" s="7"/>
    </row>
    <row r="16" spans="2:32" x14ac:dyDescent="0.25">
      <c r="B16" s="4"/>
      <c r="C16" s="4" t="s">
        <v>6</v>
      </c>
      <c r="D16" s="1">
        <v>8</v>
      </c>
      <c r="E16" s="4"/>
      <c r="F16" s="2"/>
      <c r="G16" s="4" t="s">
        <v>7</v>
      </c>
      <c r="H16" s="4" t="s">
        <v>8</v>
      </c>
      <c r="I16" s="4"/>
      <c r="J16" s="4"/>
      <c r="K16" s="4"/>
      <c r="L16" s="4"/>
      <c r="M16" s="4"/>
      <c r="N16" s="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2:32" x14ac:dyDescent="0.25">
      <c r="B17" s="4"/>
      <c r="C17" s="4" t="s">
        <v>9</v>
      </c>
      <c r="E17" s="4" t="s">
        <v>10</v>
      </c>
      <c r="F17" s="4" t="s">
        <v>11</v>
      </c>
      <c r="G17" s="3" t="e">
        <f ca="1">SUM(OFFSET(G21,1,0,TaskRows,1))</f>
        <v>#REF!</v>
      </c>
      <c r="H17" s="3" t="e">
        <f ca="1">IF(AND(SUM(OFFSET(H21,1,0,TaskRows,1))=0),0,SUM(OFFSET(H21,1,0,TaskRows,1)))</f>
        <v>#REF!</v>
      </c>
      <c r="I17" s="3" t="e">
        <f t="shared" ref="I17:AF17" ca="1" si="0">IF(AND(SUM(OFFSET(I21,1,0,TaskRows,1))=0),"",SUM(OFFSET(I21,1,0,TaskRows,1)))</f>
        <v>#REF!</v>
      </c>
      <c r="J17" s="3" t="e">
        <f t="shared" ca="1" si="0"/>
        <v>#REF!</v>
      </c>
      <c r="K17" s="3" t="e">
        <f t="shared" ca="1" si="0"/>
        <v>#REF!</v>
      </c>
      <c r="L17" s="3" t="e">
        <f t="shared" ca="1" si="0"/>
        <v>#REF!</v>
      </c>
      <c r="M17" s="3" t="e">
        <f t="shared" ca="1" si="0"/>
        <v>#REF!</v>
      </c>
      <c r="N17" s="3" t="e">
        <f t="shared" ca="1" si="0"/>
        <v>#REF!</v>
      </c>
      <c r="O17" s="3" t="e">
        <f t="shared" ca="1" si="0"/>
        <v>#REF!</v>
      </c>
      <c r="P17" s="3" t="e">
        <f t="shared" ca="1" si="0"/>
        <v>#REF!</v>
      </c>
      <c r="Q17" s="3" t="e">
        <f t="shared" ca="1" si="0"/>
        <v>#REF!</v>
      </c>
      <c r="R17" s="3" t="e">
        <f t="shared" ca="1" si="0"/>
        <v>#REF!</v>
      </c>
      <c r="S17" s="3" t="e">
        <f t="shared" ca="1" si="0"/>
        <v>#REF!</v>
      </c>
      <c r="T17" s="3" t="e">
        <f t="shared" ca="1" si="0"/>
        <v>#REF!</v>
      </c>
      <c r="U17" s="3" t="e">
        <f t="shared" ca="1" si="0"/>
        <v>#REF!</v>
      </c>
      <c r="V17" s="3" t="e">
        <f t="shared" ca="1" si="0"/>
        <v>#REF!</v>
      </c>
      <c r="W17" s="3" t="e">
        <f t="shared" ca="1" si="0"/>
        <v>#REF!</v>
      </c>
      <c r="X17" s="3" t="e">
        <f t="shared" ca="1" si="0"/>
        <v>#REF!</v>
      </c>
      <c r="Y17" s="3" t="e">
        <f t="shared" ca="1" si="0"/>
        <v>#REF!</v>
      </c>
      <c r="Z17" s="3" t="e">
        <f t="shared" ca="1" si="0"/>
        <v>#REF!</v>
      </c>
      <c r="AA17" s="3" t="e">
        <f t="shared" ca="1" si="0"/>
        <v>#REF!</v>
      </c>
      <c r="AB17" s="3" t="e">
        <f t="shared" ca="1" si="0"/>
        <v>#REF!</v>
      </c>
      <c r="AC17" s="3" t="e">
        <f t="shared" ca="1" si="0"/>
        <v>#REF!</v>
      </c>
      <c r="AD17" s="3" t="e">
        <f t="shared" ca="1" si="0"/>
        <v>#REF!</v>
      </c>
      <c r="AE17" s="3" t="e">
        <f t="shared" ca="1" si="0"/>
        <v>#REF!</v>
      </c>
      <c r="AF17" s="3" t="e">
        <f t="shared" ca="1" si="0"/>
        <v>#REF!</v>
      </c>
    </row>
    <row r="18" spans="2:32" hidden="1" x14ac:dyDescent="0.25">
      <c r="C18" t="s">
        <v>12</v>
      </c>
      <c r="D18" s="1">
        <f>IF(COUNTA(C22:C249)=0,1,COUNTA(C22:C249))</f>
        <v>17</v>
      </c>
      <c r="E18" t="s">
        <v>13</v>
      </c>
      <c r="F18" s="1">
        <f ca="1">IF(COUNTIF(H17:AF17,"&gt;0")=0,1,COUNTIF(H17:AF17,"&gt;0"))</f>
        <v>1</v>
      </c>
      <c r="H18" s="1" t="e">
        <f ca="1">IF(H21="","",$G17-$G17/($D16-1)*(H21-1))</f>
        <v>#REF!</v>
      </c>
      <c r="I18" s="1" t="e">
        <f t="shared" ref="I18:AF18" si="1">IF(I21="","",TotalEffort-TotalEffort/(ImplementationDays)*(I21-1))</f>
        <v>#REF!</v>
      </c>
      <c r="J18" s="1" t="e">
        <f t="shared" si="1"/>
        <v>#REF!</v>
      </c>
      <c r="K18" s="1" t="e">
        <f t="shared" si="1"/>
        <v>#REF!</v>
      </c>
      <c r="L18" s="1" t="e">
        <f t="shared" si="1"/>
        <v>#REF!</v>
      </c>
      <c r="M18" s="1" t="e">
        <f t="shared" si="1"/>
        <v>#REF!</v>
      </c>
      <c r="N18" s="1" t="e">
        <f t="shared" si="1"/>
        <v>#REF!</v>
      </c>
      <c r="O18" s="1" t="e">
        <f t="shared" si="1"/>
        <v>#REF!</v>
      </c>
      <c r="P18" s="1" t="str">
        <f t="shared" si="1"/>
        <v/>
      </c>
      <c r="Q18" s="1" t="str">
        <f t="shared" si="1"/>
        <v/>
      </c>
      <c r="R18" s="1" t="str">
        <f t="shared" si="1"/>
        <v/>
      </c>
      <c r="S18" s="1" t="str">
        <f t="shared" si="1"/>
        <v/>
      </c>
      <c r="T18" s="1" t="str">
        <f t="shared" si="1"/>
        <v/>
      </c>
      <c r="U18" s="1" t="str">
        <f t="shared" si="1"/>
        <v/>
      </c>
      <c r="V18" s="1" t="str">
        <f t="shared" si="1"/>
        <v/>
      </c>
      <c r="W18" s="1" t="str">
        <f t="shared" si="1"/>
        <v/>
      </c>
      <c r="X18" s="1" t="str">
        <f t="shared" si="1"/>
        <v/>
      </c>
      <c r="Y18" s="1" t="str">
        <f t="shared" si="1"/>
        <v/>
      </c>
      <c r="Z18" s="1" t="str">
        <f t="shared" si="1"/>
        <v/>
      </c>
      <c r="AA18" s="1" t="str">
        <f t="shared" si="1"/>
        <v/>
      </c>
      <c r="AB18" s="1" t="str">
        <f t="shared" si="1"/>
        <v/>
      </c>
      <c r="AC18" s="1" t="str">
        <f t="shared" si="1"/>
        <v/>
      </c>
      <c r="AD18" s="1" t="str">
        <f t="shared" si="1"/>
        <v/>
      </c>
      <c r="AE18" s="1" t="str">
        <f t="shared" si="1"/>
        <v/>
      </c>
      <c r="AF18" s="1" t="str">
        <f t="shared" si="1"/>
        <v/>
      </c>
    </row>
    <row r="19" spans="2:32" hidden="1" x14ac:dyDescent="0.25">
      <c r="C19" s="8" t="s">
        <v>14</v>
      </c>
      <c r="E19" t="s">
        <v>15</v>
      </c>
      <c r="F19" s="1"/>
      <c r="H19" s="1" t="e">
        <f t="shared" ref="H19:AF19" ca="1" si="2">IF(TREND(OFFSET($H17,0,DoneDays-TrendDays,1,TrendDays),OFFSET($H20,0,DoneDays-TrendDays,1,TrendDays),H20)&lt;0,"",TREND(OFFSET($H17,0,DoneDays-TrendDays,1,TrendDays),OFFSET($H20,0,DoneDays-TrendDays,1,TrendDays),H20))</f>
        <v>#REF!</v>
      </c>
      <c r="I19" s="1" t="e">
        <f t="shared" ca="1" si="2"/>
        <v>#REF!</v>
      </c>
      <c r="J19" s="1" t="e">
        <f t="shared" ca="1" si="2"/>
        <v>#REF!</v>
      </c>
      <c r="K19" s="1" t="e">
        <f t="shared" ca="1" si="2"/>
        <v>#REF!</v>
      </c>
      <c r="L19" s="1" t="e">
        <f t="shared" ca="1" si="2"/>
        <v>#REF!</v>
      </c>
      <c r="M19" s="1" t="e">
        <f t="shared" ca="1" si="2"/>
        <v>#REF!</v>
      </c>
      <c r="N19" s="1" t="e">
        <f t="shared" ca="1" si="2"/>
        <v>#REF!</v>
      </c>
      <c r="O19" s="1" t="e">
        <f t="shared" ca="1" si="2"/>
        <v>#REF!</v>
      </c>
      <c r="P19" s="1" t="e">
        <f t="shared" ca="1" si="2"/>
        <v>#REF!</v>
      </c>
      <c r="Q19" s="1" t="e">
        <f t="shared" ca="1" si="2"/>
        <v>#REF!</v>
      </c>
      <c r="R19" s="1" t="e">
        <f t="shared" ca="1" si="2"/>
        <v>#REF!</v>
      </c>
      <c r="S19" s="1" t="e">
        <f t="shared" ca="1" si="2"/>
        <v>#REF!</v>
      </c>
      <c r="T19" s="1" t="e">
        <f t="shared" ca="1" si="2"/>
        <v>#REF!</v>
      </c>
      <c r="U19" s="1" t="e">
        <f t="shared" ca="1" si="2"/>
        <v>#REF!</v>
      </c>
      <c r="V19" s="1" t="e">
        <f t="shared" ca="1" si="2"/>
        <v>#REF!</v>
      </c>
      <c r="W19" s="1" t="e">
        <f t="shared" ca="1" si="2"/>
        <v>#REF!</v>
      </c>
      <c r="X19" s="1" t="e">
        <f t="shared" ca="1" si="2"/>
        <v>#REF!</v>
      </c>
      <c r="Y19" s="1" t="e">
        <f t="shared" ca="1" si="2"/>
        <v>#REF!</v>
      </c>
      <c r="Z19" s="1" t="e">
        <f t="shared" ca="1" si="2"/>
        <v>#REF!</v>
      </c>
      <c r="AA19" s="1" t="e">
        <f t="shared" ca="1" si="2"/>
        <v>#REF!</v>
      </c>
      <c r="AB19" s="1" t="e">
        <f t="shared" ca="1" si="2"/>
        <v>#REF!</v>
      </c>
      <c r="AC19" s="1" t="e">
        <f t="shared" ca="1" si="2"/>
        <v>#REF!</v>
      </c>
      <c r="AD19" s="1" t="e">
        <f t="shared" ca="1" si="2"/>
        <v>#REF!</v>
      </c>
      <c r="AE19" s="1" t="e">
        <f t="shared" ca="1" si="2"/>
        <v>#REF!</v>
      </c>
      <c r="AF19" s="1" t="e">
        <f t="shared" ca="1" si="2"/>
        <v>#REF!</v>
      </c>
    </row>
    <row r="20" spans="2:32" hidden="1" x14ac:dyDescent="0.25">
      <c r="C20" s="8" t="s">
        <v>16</v>
      </c>
      <c r="E20" t="s">
        <v>17</v>
      </c>
      <c r="F20" s="1" t="e">
        <f>IF(DoneDays&gt;D17,D17,DoneDays)</f>
        <v>#REF!</v>
      </c>
      <c r="H20" s="1" t="e">
        <f>IF(DoneDays&gt;G20,G20+1,"")</f>
        <v>#REF!</v>
      </c>
      <c r="I20" s="1">
        <v>2</v>
      </c>
      <c r="J20" s="1">
        <v>3</v>
      </c>
      <c r="K20" s="1">
        <v>4</v>
      </c>
      <c r="L20" s="1">
        <v>5</v>
      </c>
      <c r="M20" s="1">
        <v>6</v>
      </c>
      <c r="N20" s="1">
        <v>7</v>
      </c>
      <c r="O20" s="1">
        <v>8</v>
      </c>
      <c r="P20" s="1">
        <v>9</v>
      </c>
      <c r="Q20" s="1">
        <v>10</v>
      </c>
      <c r="R20" s="1">
        <v>11</v>
      </c>
      <c r="S20" s="1">
        <v>12</v>
      </c>
      <c r="T20" s="1">
        <v>13</v>
      </c>
      <c r="U20" s="1">
        <v>14</v>
      </c>
      <c r="V20" s="1">
        <v>15</v>
      </c>
      <c r="W20" s="1">
        <v>16</v>
      </c>
      <c r="X20" s="1">
        <v>17</v>
      </c>
      <c r="Y20" s="1">
        <v>18</v>
      </c>
      <c r="Z20" s="1">
        <v>19</v>
      </c>
      <c r="AA20" s="1">
        <v>20</v>
      </c>
      <c r="AB20" s="1">
        <v>21</v>
      </c>
      <c r="AC20" s="1">
        <v>22</v>
      </c>
      <c r="AD20" s="1">
        <v>23</v>
      </c>
      <c r="AE20" s="1">
        <v>24</v>
      </c>
      <c r="AF20" s="1">
        <v>25</v>
      </c>
    </row>
    <row r="21" spans="2:32" x14ac:dyDescent="0.25">
      <c r="B21" s="4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>
        <v>1</v>
      </c>
      <c r="I21" s="5">
        <f t="shared" ref="I21:AF21" si="3">IF($D$16&gt;H21,H21+1,"")</f>
        <v>2</v>
      </c>
      <c r="J21" s="5">
        <f t="shared" si="3"/>
        <v>3</v>
      </c>
      <c r="K21" s="5">
        <f t="shared" si="3"/>
        <v>4</v>
      </c>
      <c r="L21" s="5">
        <f t="shared" si="3"/>
        <v>5</v>
      </c>
      <c r="M21" s="5">
        <f t="shared" si="3"/>
        <v>6</v>
      </c>
      <c r="N21" s="5">
        <f t="shared" si="3"/>
        <v>7</v>
      </c>
      <c r="O21" s="5">
        <f t="shared" si="3"/>
        <v>8</v>
      </c>
      <c r="P21" s="5" t="str">
        <f t="shared" si="3"/>
        <v/>
      </c>
      <c r="Q21" s="5" t="str">
        <f t="shared" si="3"/>
        <v/>
      </c>
      <c r="R21" s="5" t="str">
        <f t="shared" si="3"/>
        <v/>
      </c>
      <c r="S21" s="5" t="str">
        <f t="shared" si="3"/>
        <v/>
      </c>
      <c r="T21" s="5" t="str">
        <f t="shared" si="3"/>
        <v/>
      </c>
      <c r="U21" s="5" t="str">
        <f t="shared" si="3"/>
        <v/>
      </c>
      <c r="V21" s="5" t="str">
        <f t="shared" si="3"/>
        <v/>
      </c>
      <c r="W21" s="5" t="str">
        <f t="shared" si="3"/>
        <v/>
      </c>
      <c r="X21" s="5" t="str">
        <f t="shared" si="3"/>
        <v/>
      </c>
      <c r="Y21" s="5" t="str">
        <f t="shared" si="3"/>
        <v/>
      </c>
      <c r="Z21" s="5" t="str">
        <f t="shared" si="3"/>
        <v/>
      </c>
      <c r="AA21" s="5" t="str">
        <f t="shared" si="3"/>
        <v/>
      </c>
      <c r="AB21" s="5" t="str">
        <f t="shared" si="3"/>
        <v/>
      </c>
      <c r="AC21" s="5" t="str">
        <f t="shared" si="3"/>
        <v/>
      </c>
      <c r="AD21" s="5" t="str">
        <f t="shared" si="3"/>
        <v/>
      </c>
      <c r="AE21" s="5" t="str">
        <f t="shared" si="3"/>
        <v/>
      </c>
      <c r="AF21" s="5" t="str">
        <f t="shared" si="3"/>
        <v/>
      </c>
    </row>
    <row r="22" spans="2:32" ht="13.8" x14ac:dyDescent="0.3">
      <c r="B22" t="s">
        <v>93</v>
      </c>
      <c r="C22" t="s">
        <v>94</v>
      </c>
      <c r="D22" t="s">
        <v>95</v>
      </c>
      <c r="E22" t="s">
        <v>27</v>
      </c>
      <c r="F22" s="28" t="s">
        <v>96</v>
      </c>
      <c r="G22">
        <v>2</v>
      </c>
      <c r="H22" s="1">
        <v>2</v>
      </c>
      <c r="I22">
        <v>2</v>
      </c>
      <c r="J22">
        <v>2</v>
      </c>
      <c r="K22">
        <v>1</v>
      </c>
      <c r="L22">
        <v>1</v>
      </c>
      <c r="M22">
        <v>1</v>
      </c>
      <c r="N22">
        <v>0</v>
      </c>
      <c r="O22">
        <v>0</v>
      </c>
      <c r="AE22" s="1" t="str">
        <f t="shared" ref="AE22:AF41" si="4">IF(OR(AE$21="",$G22=""),"",AD22)</f>
        <v/>
      </c>
      <c r="AF22" s="1" t="str">
        <f t="shared" si="4"/>
        <v/>
      </c>
    </row>
    <row r="23" spans="2:32" ht="13.8" x14ac:dyDescent="0.3">
      <c r="B23" t="s">
        <v>97</v>
      </c>
      <c r="C23" t="s">
        <v>98</v>
      </c>
      <c r="D23" t="s">
        <v>95</v>
      </c>
      <c r="E23" t="s">
        <v>27</v>
      </c>
      <c r="F23" s="28" t="s">
        <v>96</v>
      </c>
      <c r="G23">
        <v>3</v>
      </c>
      <c r="H23" s="1">
        <v>3</v>
      </c>
      <c r="I23">
        <v>3</v>
      </c>
      <c r="J23">
        <v>2</v>
      </c>
      <c r="K23">
        <v>2</v>
      </c>
      <c r="L23">
        <v>2</v>
      </c>
      <c r="M23">
        <v>1</v>
      </c>
      <c r="N23">
        <v>1</v>
      </c>
      <c r="O23">
        <v>0</v>
      </c>
      <c r="AE23" s="1" t="str">
        <f t="shared" si="4"/>
        <v/>
      </c>
      <c r="AF23" s="1" t="str">
        <f t="shared" si="4"/>
        <v/>
      </c>
    </row>
    <row r="24" spans="2:32" ht="13.8" x14ac:dyDescent="0.3">
      <c r="B24" t="s">
        <v>99</v>
      </c>
      <c r="C24" t="s">
        <v>100</v>
      </c>
      <c r="D24" t="s">
        <v>95</v>
      </c>
      <c r="E24" t="s">
        <v>27</v>
      </c>
      <c r="F24" s="28" t="s">
        <v>96</v>
      </c>
      <c r="G24">
        <v>2</v>
      </c>
      <c r="H24" s="1">
        <v>2</v>
      </c>
      <c r="I24">
        <v>2</v>
      </c>
      <c r="J24">
        <v>2</v>
      </c>
      <c r="K24">
        <v>1</v>
      </c>
      <c r="L24">
        <v>1</v>
      </c>
      <c r="M24">
        <v>1</v>
      </c>
      <c r="N24">
        <v>0</v>
      </c>
      <c r="O24">
        <v>0</v>
      </c>
      <c r="AE24" s="1" t="str">
        <f t="shared" si="4"/>
        <v/>
      </c>
      <c r="AF24" s="1" t="str">
        <f t="shared" si="4"/>
        <v/>
      </c>
    </row>
    <row r="25" spans="2:32" ht="13.8" x14ac:dyDescent="0.3">
      <c r="B25" t="s">
        <v>101</v>
      </c>
      <c r="C25" t="s">
        <v>102</v>
      </c>
      <c r="D25" t="s">
        <v>95</v>
      </c>
      <c r="E25" t="s">
        <v>27</v>
      </c>
      <c r="F25" s="28" t="s">
        <v>96</v>
      </c>
      <c r="G25">
        <v>1</v>
      </c>
      <c r="H25" s="1">
        <v>1</v>
      </c>
      <c r="I25">
        <v>1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  <c r="AE25" s="1" t="str">
        <f t="shared" si="4"/>
        <v/>
      </c>
      <c r="AF25" s="1" t="str">
        <f t="shared" si="4"/>
        <v/>
      </c>
    </row>
    <row r="26" spans="2:32" ht="13.8" x14ac:dyDescent="0.3">
      <c r="B26" t="s">
        <v>103</v>
      </c>
      <c r="C26" t="s">
        <v>104</v>
      </c>
      <c r="D26" t="s">
        <v>105</v>
      </c>
      <c r="E26" t="s">
        <v>36</v>
      </c>
      <c r="F26" s="28" t="s">
        <v>96</v>
      </c>
      <c r="G26">
        <v>2</v>
      </c>
      <c r="H26" s="1">
        <v>2</v>
      </c>
      <c r="I26">
        <v>2</v>
      </c>
      <c r="J26">
        <v>2</v>
      </c>
      <c r="K26">
        <v>1</v>
      </c>
      <c r="L26">
        <v>1</v>
      </c>
      <c r="M26">
        <v>1</v>
      </c>
      <c r="N26">
        <v>0</v>
      </c>
      <c r="O26">
        <v>0</v>
      </c>
      <c r="AE26" s="1" t="str">
        <f t="shared" si="4"/>
        <v/>
      </c>
      <c r="AF26" s="1" t="str">
        <f t="shared" si="4"/>
        <v/>
      </c>
    </row>
    <row r="27" spans="2:32" ht="13.8" x14ac:dyDescent="0.3">
      <c r="B27" t="s">
        <v>106</v>
      </c>
      <c r="C27" t="s">
        <v>107</v>
      </c>
      <c r="D27" t="s">
        <v>105</v>
      </c>
      <c r="E27" t="s">
        <v>36</v>
      </c>
      <c r="F27" s="28" t="s">
        <v>96</v>
      </c>
      <c r="G27">
        <v>2</v>
      </c>
      <c r="H27" s="1">
        <v>2</v>
      </c>
      <c r="I27">
        <v>2</v>
      </c>
      <c r="J27">
        <v>2</v>
      </c>
      <c r="K27">
        <v>1</v>
      </c>
      <c r="L27">
        <v>1</v>
      </c>
      <c r="M27">
        <v>1</v>
      </c>
      <c r="N27">
        <v>0</v>
      </c>
      <c r="O27">
        <v>0</v>
      </c>
      <c r="AE27" s="1" t="str">
        <f t="shared" si="4"/>
        <v/>
      </c>
      <c r="AF27" s="1" t="str">
        <f t="shared" si="4"/>
        <v/>
      </c>
    </row>
    <row r="28" spans="2:32" ht="13.8" x14ac:dyDescent="0.3">
      <c r="B28" t="s">
        <v>108</v>
      </c>
      <c r="C28" t="s">
        <v>109</v>
      </c>
      <c r="D28" t="s">
        <v>105</v>
      </c>
      <c r="E28" t="s">
        <v>36</v>
      </c>
      <c r="F28" s="28" t="s">
        <v>96</v>
      </c>
      <c r="G28">
        <v>2</v>
      </c>
      <c r="H28" s="1">
        <v>2</v>
      </c>
      <c r="I28">
        <v>2</v>
      </c>
      <c r="J28">
        <v>2</v>
      </c>
      <c r="K28">
        <v>1</v>
      </c>
      <c r="L28">
        <v>1</v>
      </c>
      <c r="M28">
        <v>1</v>
      </c>
      <c r="N28">
        <v>0</v>
      </c>
      <c r="O28">
        <v>0</v>
      </c>
      <c r="AE28" s="1" t="str">
        <f t="shared" si="4"/>
        <v/>
      </c>
      <c r="AF28" s="1" t="str">
        <f t="shared" si="4"/>
        <v/>
      </c>
    </row>
    <row r="29" spans="2:32" ht="13.8" x14ac:dyDescent="0.3">
      <c r="B29" t="s">
        <v>110</v>
      </c>
      <c r="C29" t="s">
        <v>111</v>
      </c>
      <c r="D29" t="s">
        <v>105</v>
      </c>
      <c r="E29" t="s">
        <v>36</v>
      </c>
      <c r="F29" s="28" t="s">
        <v>96</v>
      </c>
      <c r="G29">
        <v>1</v>
      </c>
      <c r="H29" s="1">
        <v>1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AE29" s="1" t="str">
        <f t="shared" si="4"/>
        <v/>
      </c>
      <c r="AF29" s="1" t="str">
        <f t="shared" si="4"/>
        <v/>
      </c>
    </row>
    <row r="30" spans="2:32" ht="13.8" x14ac:dyDescent="0.3">
      <c r="B30" t="s">
        <v>112</v>
      </c>
      <c r="C30" t="s">
        <v>113</v>
      </c>
      <c r="D30" t="s">
        <v>105</v>
      </c>
      <c r="E30" t="s">
        <v>36</v>
      </c>
      <c r="F30" s="28" t="s">
        <v>96</v>
      </c>
      <c r="G30">
        <v>1</v>
      </c>
      <c r="H30" s="1">
        <v>1</v>
      </c>
      <c r="I30">
        <v>1</v>
      </c>
      <c r="J30">
        <v>1</v>
      </c>
      <c r="K30">
        <v>1</v>
      </c>
      <c r="L30">
        <v>0</v>
      </c>
      <c r="M30">
        <v>0</v>
      </c>
      <c r="N30">
        <v>0</v>
      </c>
      <c r="O30">
        <v>0</v>
      </c>
      <c r="AE30" s="1" t="str">
        <f t="shared" si="4"/>
        <v/>
      </c>
      <c r="AF30" s="1" t="str">
        <f t="shared" si="4"/>
        <v/>
      </c>
    </row>
    <row r="31" spans="2:32" ht="13.8" x14ac:dyDescent="0.3">
      <c r="B31" t="s">
        <v>114</v>
      </c>
      <c r="C31" t="s">
        <v>115</v>
      </c>
      <c r="D31" t="s">
        <v>116</v>
      </c>
      <c r="E31" t="s">
        <v>42</v>
      </c>
      <c r="F31" s="28" t="s">
        <v>96</v>
      </c>
      <c r="G31">
        <v>2</v>
      </c>
      <c r="H31" s="1">
        <v>2</v>
      </c>
      <c r="I31">
        <v>2</v>
      </c>
      <c r="J31">
        <v>2</v>
      </c>
      <c r="K31">
        <v>1</v>
      </c>
      <c r="L31">
        <v>1</v>
      </c>
      <c r="M31">
        <v>1</v>
      </c>
      <c r="N31">
        <v>0</v>
      </c>
      <c r="O31">
        <v>0</v>
      </c>
      <c r="AE31" s="1" t="str">
        <f t="shared" si="4"/>
        <v/>
      </c>
      <c r="AF31" s="1" t="str">
        <f t="shared" si="4"/>
        <v/>
      </c>
    </row>
    <row r="32" spans="2:32" ht="13.8" x14ac:dyDescent="0.3">
      <c r="B32" t="s">
        <v>117</v>
      </c>
      <c r="C32" t="s">
        <v>118</v>
      </c>
      <c r="D32" t="s">
        <v>116</v>
      </c>
      <c r="E32" t="s">
        <v>42</v>
      </c>
      <c r="F32" s="28" t="s">
        <v>96</v>
      </c>
      <c r="G32">
        <v>2</v>
      </c>
      <c r="H32" s="1">
        <v>2</v>
      </c>
      <c r="I32">
        <v>2</v>
      </c>
      <c r="J32">
        <v>2</v>
      </c>
      <c r="K32">
        <v>1</v>
      </c>
      <c r="L32">
        <v>1</v>
      </c>
      <c r="M32">
        <v>1</v>
      </c>
      <c r="N32">
        <v>0</v>
      </c>
      <c r="O32">
        <v>0</v>
      </c>
      <c r="AE32" s="1" t="str">
        <f t="shared" si="4"/>
        <v/>
      </c>
      <c r="AF32" s="1" t="str">
        <f t="shared" si="4"/>
        <v/>
      </c>
    </row>
    <row r="33" spans="2:32" ht="13.8" x14ac:dyDescent="0.3">
      <c r="B33" t="s">
        <v>119</v>
      </c>
      <c r="C33" t="s">
        <v>120</v>
      </c>
      <c r="D33" t="s">
        <v>116</v>
      </c>
      <c r="E33" t="s">
        <v>42</v>
      </c>
      <c r="F33" s="28" t="s">
        <v>96</v>
      </c>
      <c r="G33">
        <v>2</v>
      </c>
      <c r="H33" s="1">
        <v>2</v>
      </c>
      <c r="I33">
        <v>2</v>
      </c>
      <c r="J33">
        <v>2</v>
      </c>
      <c r="K33">
        <v>1</v>
      </c>
      <c r="L33">
        <v>1</v>
      </c>
      <c r="M33">
        <v>1</v>
      </c>
      <c r="N33">
        <v>0</v>
      </c>
      <c r="O33">
        <v>0</v>
      </c>
      <c r="AE33" s="1" t="str">
        <f t="shared" si="4"/>
        <v/>
      </c>
      <c r="AF33" s="1" t="str">
        <f t="shared" si="4"/>
        <v/>
      </c>
    </row>
    <row r="34" spans="2:32" ht="13.8" x14ac:dyDescent="0.3">
      <c r="B34" t="s">
        <v>121</v>
      </c>
      <c r="C34" t="s">
        <v>122</v>
      </c>
      <c r="D34" t="s">
        <v>116</v>
      </c>
      <c r="E34" t="s">
        <v>42</v>
      </c>
      <c r="F34" s="28" t="s">
        <v>96</v>
      </c>
      <c r="G34">
        <v>2</v>
      </c>
      <c r="H34" s="1">
        <v>2</v>
      </c>
      <c r="I34">
        <v>2</v>
      </c>
      <c r="J34">
        <v>2</v>
      </c>
      <c r="K34">
        <v>1</v>
      </c>
      <c r="L34">
        <v>1</v>
      </c>
      <c r="M34">
        <v>1</v>
      </c>
      <c r="N34">
        <v>0</v>
      </c>
      <c r="O34">
        <v>0</v>
      </c>
      <c r="AE34" s="1" t="str">
        <f t="shared" si="4"/>
        <v/>
      </c>
      <c r="AF34" s="1" t="str">
        <f t="shared" si="4"/>
        <v/>
      </c>
    </row>
    <row r="35" spans="2:32" ht="13.8" x14ac:dyDescent="0.3">
      <c r="B35" t="s">
        <v>123</v>
      </c>
      <c r="C35" t="s">
        <v>124</v>
      </c>
      <c r="D35" t="s">
        <v>125</v>
      </c>
      <c r="E35" t="s">
        <v>48</v>
      </c>
      <c r="F35" s="28" t="s">
        <v>96</v>
      </c>
      <c r="G35">
        <v>3</v>
      </c>
      <c r="H35" s="1">
        <v>3</v>
      </c>
      <c r="I35">
        <v>3</v>
      </c>
      <c r="J35">
        <v>2</v>
      </c>
      <c r="K35">
        <v>2</v>
      </c>
      <c r="L35">
        <v>2</v>
      </c>
      <c r="M35">
        <v>1</v>
      </c>
      <c r="N35">
        <v>1</v>
      </c>
      <c r="O35">
        <v>0</v>
      </c>
      <c r="AE35" s="1" t="str">
        <f t="shared" si="4"/>
        <v/>
      </c>
      <c r="AF35" s="1" t="str">
        <f t="shared" si="4"/>
        <v/>
      </c>
    </row>
    <row r="36" spans="2:32" ht="13.8" x14ac:dyDescent="0.3">
      <c r="B36" t="s">
        <v>126</v>
      </c>
      <c r="C36" t="s">
        <v>127</v>
      </c>
      <c r="D36" t="s">
        <v>125</v>
      </c>
      <c r="E36" t="s">
        <v>48</v>
      </c>
      <c r="F36" s="28" t="s">
        <v>96</v>
      </c>
      <c r="G36">
        <v>2</v>
      </c>
      <c r="H36" s="1">
        <v>2</v>
      </c>
      <c r="I36">
        <v>2</v>
      </c>
      <c r="J36">
        <v>2</v>
      </c>
      <c r="K36">
        <v>1</v>
      </c>
      <c r="L36">
        <v>1</v>
      </c>
      <c r="M36">
        <v>1</v>
      </c>
      <c r="N36">
        <v>0</v>
      </c>
      <c r="O36">
        <v>0</v>
      </c>
      <c r="AE36" s="1" t="str">
        <f t="shared" si="4"/>
        <v/>
      </c>
      <c r="AF36" s="1" t="str">
        <f t="shared" si="4"/>
        <v/>
      </c>
    </row>
    <row r="37" spans="2:32" ht="13.8" x14ac:dyDescent="0.3">
      <c r="B37" t="s">
        <v>128</v>
      </c>
      <c r="C37" t="s">
        <v>129</v>
      </c>
      <c r="D37" t="s">
        <v>125</v>
      </c>
      <c r="E37" t="s">
        <v>48</v>
      </c>
      <c r="F37" s="28" t="s">
        <v>96</v>
      </c>
      <c r="G37">
        <v>2</v>
      </c>
      <c r="H37" s="1">
        <v>2</v>
      </c>
      <c r="I37">
        <v>2</v>
      </c>
      <c r="J37">
        <v>2</v>
      </c>
      <c r="K37">
        <v>1</v>
      </c>
      <c r="L37">
        <v>1</v>
      </c>
      <c r="M37">
        <v>1</v>
      </c>
      <c r="N37">
        <v>0</v>
      </c>
      <c r="O37">
        <v>0</v>
      </c>
      <c r="AE37" s="1" t="str">
        <f t="shared" si="4"/>
        <v/>
      </c>
      <c r="AF37" s="1" t="str">
        <f t="shared" si="4"/>
        <v/>
      </c>
    </row>
    <row r="38" spans="2:32" ht="13.8" x14ac:dyDescent="0.3">
      <c r="B38" t="s">
        <v>130</v>
      </c>
      <c r="C38" t="s">
        <v>131</v>
      </c>
      <c r="D38" t="s">
        <v>125</v>
      </c>
      <c r="E38" t="s">
        <v>48</v>
      </c>
      <c r="F38" s="28" t="s">
        <v>96</v>
      </c>
      <c r="G38">
        <v>1</v>
      </c>
      <c r="H38" s="1">
        <v>1</v>
      </c>
      <c r="I38">
        <v>1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AE38" s="1" t="str">
        <f t="shared" si="4"/>
        <v/>
      </c>
      <c r="AF38" s="1" t="str">
        <f t="shared" si="4"/>
        <v/>
      </c>
    </row>
    <row r="39" spans="2:32" x14ac:dyDescent="0.25">
      <c r="F39" t="str">
        <f t="shared" ref="F39:F63" si="5">IF(C39&lt;&gt;"","Planned","")</f>
        <v/>
      </c>
      <c r="H39" s="1" t="str">
        <f t="shared" ref="H39:H66" si="6">IF(OR(H$21="",$G39=""),"",G39)</f>
        <v/>
      </c>
      <c r="AE39" s="1" t="str">
        <f t="shared" si="4"/>
        <v/>
      </c>
      <c r="AF39" s="1" t="str">
        <f t="shared" si="4"/>
        <v/>
      </c>
    </row>
    <row r="40" spans="2:32" x14ac:dyDescent="0.25">
      <c r="F40" t="str">
        <f t="shared" si="5"/>
        <v/>
      </c>
      <c r="H40" s="1" t="str">
        <f t="shared" si="6"/>
        <v/>
      </c>
      <c r="AE40" s="1" t="str">
        <f t="shared" si="4"/>
        <v/>
      </c>
      <c r="AF40" s="1" t="str">
        <f t="shared" si="4"/>
        <v/>
      </c>
    </row>
    <row r="41" spans="2:32" x14ac:dyDescent="0.25">
      <c r="F41" t="str">
        <f t="shared" si="5"/>
        <v/>
      </c>
      <c r="H41" s="1" t="str">
        <f t="shared" si="6"/>
        <v/>
      </c>
      <c r="AE41" s="1" t="str">
        <f t="shared" si="4"/>
        <v/>
      </c>
      <c r="AF41" s="1" t="str">
        <f t="shared" si="4"/>
        <v/>
      </c>
    </row>
    <row r="42" spans="2:32" x14ac:dyDescent="0.25">
      <c r="F42" t="str">
        <f t="shared" si="5"/>
        <v/>
      </c>
      <c r="H42" s="1" t="str">
        <f t="shared" si="6"/>
        <v/>
      </c>
      <c r="AE42" s="1" t="str">
        <f t="shared" ref="AE42:AF61" si="7">IF(OR(AE$21="",$G42=""),"",AD42)</f>
        <v/>
      </c>
      <c r="AF42" s="1" t="str">
        <f t="shared" si="7"/>
        <v/>
      </c>
    </row>
    <row r="43" spans="2:32" x14ac:dyDescent="0.25">
      <c r="F43" t="str">
        <f t="shared" si="5"/>
        <v/>
      </c>
      <c r="H43" s="1" t="str">
        <f t="shared" si="6"/>
        <v/>
      </c>
      <c r="AE43" s="1" t="str">
        <f t="shared" si="7"/>
        <v/>
      </c>
      <c r="AF43" s="1" t="str">
        <f t="shared" si="7"/>
        <v/>
      </c>
    </row>
    <row r="44" spans="2:32" x14ac:dyDescent="0.25">
      <c r="F44" t="str">
        <f t="shared" si="5"/>
        <v/>
      </c>
      <c r="H44" s="1" t="str">
        <f t="shared" si="6"/>
        <v/>
      </c>
      <c r="AE44" s="1" t="str">
        <f t="shared" si="7"/>
        <v/>
      </c>
      <c r="AF44" s="1" t="str">
        <f t="shared" si="7"/>
        <v/>
      </c>
    </row>
    <row r="45" spans="2:32" x14ac:dyDescent="0.25">
      <c r="F45" t="str">
        <f t="shared" si="5"/>
        <v/>
      </c>
      <c r="H45" s="1" t="str">
        <f t="shared" si="6"/>
        <v/>
      </c>
      <c r="AE45" s="1" t="str">
        <f t="shared" si="7"/>
        <v/>
      </c>
      <c r="AF45" s="1" t="str">
        <f t="shared" si="7"/>
        <v/>
      </c>
    </row>
    <row r="46" spans="2:32" x14ac:dyDescent="0.25">
      <c r="F46" t="str">
        <f t="shared" si="5"/>
        <v/>
      </c>
      <c r="H46" s="1" t="str">
        <f t="shared" si="6"/>
        <v/>
      </c>
      <c r="AE46" s="1" t="str">
        <f t="shared" si="7"/>
        <v/>
      </c>
      <c r="AF46" s="1" t="str">
        <f t="shared" si="7"/>
        <v/>
      </c>
    </row>
    <row r="47" spans="2:32" x14ac:dyDescent="0.25">
      <c r="F47" t="str">
        <f t="shared" si="5"/>
        <v/>
      </c>
      <c r="H47" s="1" t="str">
        <f t="shared" si="6"/>
        <v/>
      </c>
      <c r="AE47" s="1" t="str">
        <f t="shared" si="7"/>
        <v/>
      </c>
      <c r="AF47" s="1" t="str">
        <f t="shared" si="7"/>
        <v/>
      </c>
    </row>
    <row r="48" spans="2:32" x14ac:dyDescent="0.25">
      <c r="F48" t="str">
        <f t="shared" si="5"/>
        <v/>
      </c>
      <c r="H48" s="1" t="str">
        <f t="shared" si="6"/>
        <v/>
      </c>
      <c r="AE48" s="1" t="str">
        <f t="shared" si="7"/>
        <v/>
      </c>
      <c r="AF48" s="1" t="str">
        <f t="shared" si="7"/>
        <v/>
      </c>
    </row>
    <row r="49" spans="6:32" x14ac:dyDescent="0.25">
      <c r="F49" t="str">
        <f t="shared" si="5"/>
        <v/>
      </c>
      <c r="H49" s="1" t="str">
        <f t="shared" si="6"/>
        <v/>
      </c>
      <c r="AE49" s="1" t="str">
        <f t="shared" si="7"/>
        <v/>
      </c>
      <c r="AF49" s="1" t="str">
        <f t="shared" si="7"/>
        <v/>
      </c>
    </row>
    <row r="50" spans="6:32" x14ac:dyDescent="0.25">
      <c r="F50" t="str">
        <f t="shared" si="5"/>
        <v/>
      </c>
      <c r="H50" s="1" t="str">
        <f t="shared" si="6"/>
        <v/>
      </c>
      <c r="AE50" s="1" t="str">
        <f t="shared" si="7"/>
        <v/>
      </c>
      <c r="AF50" s="1" t="str">
        <f t="shared" si="7"/>
        <v/>
      </c>
    </row>
    <row r="51" spans="6:32" x14ac:dyDescent="0.25">
      <c r="F51" t="str">
        <f t="shared" si="5"/>
        <v/>
      </c>
      <c r="H51" s="1" t="str">
        <f t="shared" si="6"/>
        <v/>
      </c>
      <c r="AE51" s="1" t="str">
        <f t="shared" si="7"/>
        <v/>
      </c>
      <c r="AF51" s="1" t="str">
        <f t="shared" si="7"/>
        <v/>
      </c>
    </row>
    <row r="52" spans="6:32" x14ac:dyDescent="0.25">
      <c r="F52" t="str">
        <f t="shared" si="5"/>
        <v/>
      </c>
      <c r="H52" s="1" t="str">
        <f t="shared" si="6"/>
        <v/>
      </c>
      <c r="AE52" s="1" t="str">
        <f t="shared" si="7"/>
        <v/>
      </c>
      <c r="AF52" s="1" t="str">
        <f t="shared" si="7"/>
        <v/>
      </c>
    </row>
    <row r="53" spans="6:32" x14ac:dyDescent="0.25">
      <c r="F53" t="str">
        <f t="shared" si="5"/>
        <v/>
      </c>
      <c r="H53" s="1" t="str">
        <f t="shared" si="6"/>
        <v/>
      </c>
      <c r="AE53" s="1" t="str">
        <f t="shared" si="7"/>
        <v/>
      </c>
      <c r="AF53" s="1" t="str">
        <f t="shared" si="7"/>
        <v/>
      </c>
    </row>
    <row r="54" spans="6:32" x14ac:dyDescent="0.25">
      <c r="F54" t="str">
        <f t="shared" si="5"/>
        <v/>
      </c>
      <c r="H54" s="1" t="str">
        <f t="shared" si="6"/>
        <v/>
      </c>
      <c r="AE54" s="1" t="str">
        <f t="shared" si="7"/>
        <v/>
      </c>
      <c r="AF54" s="1" t="str">
        <f t="shared" si="7"/>
        <v/>
      </c>
    </row>
    <row r="55" spans="6:32" x14ac:dyDescent="0.25">
      <c r="F55" t="str">
        <f t="shared" si="5"/>
        <v/>
      </c>
      <c r="H55" s="1" t="str">
        <f t="shared" si="6"/>
        <v/>
      </c>
      <c r="AE55" s="1" t="str">
        <f t="shared" si="7"/>
        <v/>
      </c>
      <c r="AF55" s="1" t="str">
        <f t="shared" si="7"/>
        <v/>
      </c>
    </row>
    <row r="56" spans="6:32" x14ac:dyDescent="0.25">
      <c r="F56" t="str">
        <f t="shared" si="5"/>
        <v/>
      </c>
      <c r="H56" s="1" t="str">
        <f t="shared" si="6"/>
        <v/>
      </c>
      <c r="AE56" s="1" t="str">
        <f t="shared" si="7"/>
        <v/>
      </c>
      <c r="AF56" s="1" t="str">
        <f t="shared" si="7"/>
        <v/>
      </c>
    </row>
    <row r="57" spans="6:32" x14ac:dyDescent="0.25">
      <c r="F57" t="str">
        <f t="shared" si="5"/>
        <v/>
      </c>
      <c r="H57" s="1" t="str">
        <f t="shared" si="6"/>
        <v/>
      </c>
      <c r="AE57" s="1" t="str">
        <f t="shared" si="7"/>
        <v/>
      </c>
      <c r="AF57" s="1" t="str">
        <f t="shared" si="7"/>
        <v/>
      </c>
    </row>
    <row r="58" spans="6:32" x14ac:dyDescent="0.25">
      <c r="F58" t="str">
        <f t="shared" si="5"/>
        <v/>
      </c>
      <c r="H58" s="1" t="str">
        <f t="shared" si="6"/>
        <v/>
      </c>
      <c r="AE58" s="1" t="str">
        <f t="shared" si="7"/>
        <v/>
      </c>
      <c r="AF58" s="1" t="str">
        <f t="shared" si="7"/>
        <v/>
      </c>
    </row>
    <row r="59" spans="6:32" x14ac:dyDescent="0.25">
      <c r="F59" t="str">
        <f t="shared" si="5"/>
        <v/>
      </c>
      <c r="H59" s="1" t="str">
        <f t="shared" si="6"/>
        <v/>
      </c>
      <c r="AE59" s="1" t="str">
        <f t="shared" si="7"/>
        <v/>
      </c>
      <c r="AF59" s="1" t="str">
        <f t="shared" si="7"/>
        <v/>
      </c>
    </row>
    <row r="60" spans="6:32" x14ac:dyDescent="0.25">
      <c r="F60" t="str">
        <f t="shared" si="5"/>
        <v/>
      </c>
      <c r="H60" s="1" t="str">
        <f t="shared" si="6"/>
        <v/>
      </c>
      <c r="AE60" s="1" t="str">
        <f t="shared" si="7"/>
        <v/>
      </c>
      <c r="AF60" s="1" t="str">
        <f t="shared" si="7"/>
        <v/>
      </c>
    </row>
    <row r="61" spans="6:32" x14ac:dyDescent="0.25">
      <c r="F61" t="str">
        <f t="shared" si="5"/>
        <v/>
      </c>
      <c r="H61" s="1" t="str">
        <f t="shared" si="6"/>
        <v/>
      </c>
      <c r="AE61" s="1" t="str">
        <f t="shared" si="7"/>
        <v/>
      </c>
      <c r="AF61" s="1" t="str">
        <f t="shared" si="7"/>
        <v/>
      </c>
    </row>
    <row r="62" spans="6:32" x14ac:dyDescent="0.25">
      <c r="F62" t="str">
        <f t="shared" si="5"/>
        <v/>
      </c>
      <c r="H62" s="1" t="str">
        <f t="shared" si="6"/>
        <v/>
      </c>
      <c r="I62" s="1" t="str">
        <f t="shared" ref="I62:AD62" si="8">IF(OR(I$21="",$G62=""),"",H62)</f>
        <v/>
      </c>
      <c r="J62" s="1" t="str">
        <f t="shared" si="8"/>
        <v/>
      </c>
      <c r="K62" s="1" t="str">
        <f t="shared" si="8"/>
        <v/>
      </c>
      <c r="L62" s="1" t="str">
        <f t="shared" si="8"/>
        <v/>
      </c>
      <c r="M62" s="1" t="str">
        <f t="shared" si="8"/>
        <v/>
      </c>
      <c r="N62" s="1" t="str">
        <f t="shared" si="8"/>
        <v/>
      </c>
      <c r="O62" s="1" t="str">
        <f t="shared" si="8"/>
        <v/>
      </c>
      <c r="P62" s="1" t="str">
        <f t="shared" si="8"/>
        <v/>
      </c>
      <c r="Q62" s="1" t="str">
        <f t="shared" si="8"/>
        <v/>
      </c>
      <c r="R62" s="1" t="str">
        <f t="shared" si="8"/>
        <v/>
      </c>
      <c r="S62" s="1" t="str">
        <f t="shared" si="8"/>
        <v/>
      </c>
      <c r="T62" s="1" t="str">
        <f t="shared" si="8"/>
        <v/>
      </c>
      <c r="U62" s="1" t="str">
        <f t="shared" si="8"/>
        <v/>
      </c>
      <c r="V62" s="1" t="str">
        <f t="shared" si="8"/>
        <v/>
      </c>
      <c r="W62" s="1" t="str">
        <f t="shared" si="8"/>
        <v/>
      </c>
      <c r="X62" s="1" t="str">
        <f t="shared" si="8"/>
        <v/>
      </c>
      <c r="Y62" s="1" t="str">
        <f t="shared" si="8"/>
        <v/>
      </c>
      <c r="Z62" s="1" t="str">
        <f t="shared" si="8"/>
        <v/>
      </c>
      <c r="AA62" s="1" t="str">
        <f t="shared" si="8"/>
        <v/>
      </c>
      <c r="AB62" s="1" t="str">
        <f t="shared" si="8"/>
        <v/>
      </c>
      <c r="AC62" s="1" t="str">
        <f t="shared" si="8"/>
        <v/>
      </c>
      <c r="AD62" s="1" t="str">
        <f t="shared" si="8"/>
        <v/>
      </c>
      <c r="AE62" s="1" t="str">
        <f t="shared" ref="AE62:AF81" si="9">IF(OR(AE$21="",$G62=""),"",AD62)</f>
        <v/>
      </c>
      <c r="AF62" s="1" t="str">
        <f t="shared" si="9"/>
        <v/>
      </c>
    </row>
    <row r="63" spans="6:32" x14ac:dyDescent="0.25">
      <c r="F63" t="str">
        <f t="shared" si="5"/>
        <v/>
      </c>
      <c r="H63" s="1" t="str">
        <f t="shared" si="6"/>
        <v/>
      </c>
      <c r="I63" s="1" t="str">
        <f t="shared" ref="I63:AD63" si="10">IF(OR(I$21="",$G63=""),"",H63)</f>
        <v/>
      </c>
      <c r="J63" s="1" t="str">
        <f t="shared" si="10"/>
        <v/>
      </c>
      <c r="K63" s="1" t="str">
        <f t="shared" si="10"/>
        <v/>
      </c>
      <c r="L63" s="1" t="str">
        <f t="shared" si="10"/>
        <v/>
      </c>
      <c r="M63" s="1" t="str">
        <f t="shared" si="10"/>
        <v/>
      </c>
      <c r="N63" s="1" t="str">
        <f t="shared" si="10"/>
        <v/>
      </c>
      <c r="O63" s="1" t="str">
        <f t="shared" si="10"/>
        <v/>
      </c>
      <c r="P63" s="1" t="str">
        <f t="shared" si="10"/>
        <v/>
      </c>
      <c r="Q63" s="1" t="str">
        <f t="shared" si="10"/>
        <v/>
      </c>
      <c r="R63" s="1" t="str">
        <f t="shared" si="10"/>
        <v/>
      </c>
      <c r="S63" s="1" t="str">
        <f t="shared" si="10"/>
        <v/>
      </c>
      <c r="T63" s="1" t="str">
        <f t="shared" si="10"/>
        <v/>
      </c>
      <c r="U63" s="1" t="str">
        <f t="shared" si="10"/>
        <v/>
      </c>
      <c r="V63" s="1" t="str">
        <f t="shared" si="10"/>
        <v/>
      </c>
      <c r="W63" s="1" t="str">
        <f t="shared" si="10"/>
        <v/>
      </c>
      <c r="X63" s="1" t="str">
        <f t="shared" si="10"/>
        <v/>
      </c>
      <c r="Y63" s="1" t="str">
        <f t="shared" si="10"/>
        <v/>
      </c>
      <c r="Z63" s="1" t="str">
        <f t="shared" si="10"/>
        <v/>
      </c>
      <c r="AA63" s="1" t="str">
        <f t="shared" si="10"/>
        <v/>
      </c>
      <c r="AB63" s="1" t="str">
        <f t="shared" si="10"/>
        <v/>
      </c>
      <c r="AC63" s="1" t="str">
        <f t="shared" si="10"/>
        <v/>
      </c>
      <c r="AD63" s="1" t="str">
        <f t="shared" si="10"/>
        <v/>
      </c>
      <c r="AE63" s="1" t="str">
        <f t="shared" si="9"/>
        <v/>
      </c>
      <c r="AF63" s="1" t="str">
        <f t="shared" si="9"/>
        <v/>
      </c>
    </row>
    <row r="64" spans="6:32" x14ac:dyDescent="0.25">
      <c r="F64" t="s">
        <v>53</v>
      </c>
      <c r="H64" s="1" t="str">
        <f t="shared" si="6"/>
        <v/>
      </c>
      <c r="AE64" s="1" t="str">
        <f t="shared" si="9"/>
        <v/>
      </c>
      <c r="AF64" s="1" t="str">
        <f t="shared" si="9"/>
        <v/>
      </c>
    </row>
    <row r="65" spans="6:32" x14ac:dyDescent="0.25">
      <c r="F65" t="s">
        <v>54</v>
      </c>
      <c r="H65" s="1" t="str">
        <f t="shared" si="6"/>
        <v/>
      </c>
      <c r="AE65" s="1" t="str">
        <f t="shared" si="9"/>
        <v/>
      </c>
      <c r="AF65" s="1" t="str">
        <f t="shared" si="9"/>
        <v/>
      </c>
    </row>
    <row r="66" spans="6:32" x14ac:dyDescent="0.25">
      <c r="F66" t="s">
        <v>55</v>
      </c>
      <c r="H66" s="1" t="str">
        <f t="shared" si="6"/>
        <v/>
      </c>
    </row>
    <row r="71" spans="6:32" s="1" customFormat="1" x14ac:dyDescent="0.25">
      <c r="F71" t="str">
        <f>IF(C71&lt;&gt;"","Planned","")</f>
        <v/>
      </c>
    </row>
  </sheetData>
  <mergeCells count="3">
    <mergeCell ref="D4:H4"/>
    <mergeCell ref="D5:H5"/>
    <mergeCell ref="D3:H3"/>
  </mergeCells>
  <conditionalFormatting sqref="B22:AF65">
    <cfRule type="expression" dxfId="3" priority="3" stopIfTrue="1">
      <formula>$F22="Terminado"</formula>
    </cfRule>
    <cfRule type="expression" dxfId="2" priority="4" stopIfTrue="1">
      <formula>$F22="En Progreso"</formula>
    </cfRule>
  </conditionalFormatting>
  <conditionalFormatting sqref="L22:AF25 C26:AF65">
    <cfRule type="expression" dxfId="1" priority="1" stopIfTrue="1">
      <formula>$F22="Done"</formula>
    </cfRule>
    <cfRule type="expression" dxfId="0" priority="2" stopIfTrue="1">
      <formula>$F22="Ongoing"</formula>
    </cfRule>
  </conditionalFormatting>
  <dataValidations disablePrompts="1" count="1">
    <dataValidation type="list" allowBlank="1" showInputMessage="1" sqref="F10:F15 F22:F71" xr:uid="{00000000-0002-0000-0200-000000000000}">
      <formula1>"Por Hacer,En Progreso,Terminado"</formula1>
    </dataValidation>
  </dataValidations>
  <pageMargins left="0.75" right="0.75" top="1" bottom="1" header="0.5" footer="0.5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Sprint 1</vt:lpstr>
      <vt:lpstr>Sprint 2</vt:lpstr>
      <vt:lpstr>Sprint 3</vt:lpstr>
      <vt:lpstr>'Sprint 1'!DoneDays</vt:lpstr>
      <vt:lpstr>'Sprint 2'!DoneDays</vt:lpstr>
      <vt:lpstr>'Sprint 1'!ImplementationDays</vt:lpstr>
      <vt:lpstr>'Sprint 2'!ImplementationDays</vt:lpstr>
      <vt:lpstr>'Sprint 1'!SprintTasks</vt:lpstr>
      <vt:lpstr>'Sprint 2'!SprintTasks</vt:lpstr>
      <vt:lpstr>'Sprint 1'!TaskRows</vt:lpstr>
      <vt:lpstr>'Sprint 2'!TaskRows</vt:lpstr>
      <vt:lpstr>'Sprint 1'!TaskStatus</vt:lpstr>
      <vt:lpstr>'Sprint 2'!TaskStatus</vt:lpstr>
      <vt:lpstr>'Sprint 1'!TaskStoryID</vt:lpstr>
      <vt:lpstr>'Sprint 2'!TaskStoryID</vt:lpstr>
      <vt:lpstr>'Sprint 1'!TotalEffort</vt:lpstr>
      <vt:lpstr>'Sprint 2'!TotalEffort</vt:lpstr>
      <vt:lpstr>'Sprint 1'!TrendDays</vt:lpstr>
      <vt:lpstr>'Sprint 2'!TrendDays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Iteration Plans</dc:title>
  <dc:creator>&lt; Your name &gt;</dc:creator>
  <dc:description>Template versio 1.0 Approval</dc:description>
  <cp:lastModifiedBy>DIEGO MIGUEL HUAMANTALLA RIOS</cp:lastModifiedBy>
  <cp:revision>1</cp:revision>
  <cp:lastPrinted>2006-09-01T14:59:00Z</cp:lastPrinted>
  <dcterms:created xsi:type="dcterms:W3CDTF">1998-06-05T11:20:44Z</dcterms:created>
  <dcterms:modified xsi:type="dcterms:W3CDTF">2026-10-14T19:18:21Z</dcterms:modified>
  <cp:category>SysOpen Digia Standard Template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FWJASSSE55TN-275-110</vt:lpwstr>
  </property>
  <property fmtid="{D5CDD505-2E9C-101B-9397-08002B2CF9AE}" pid="4" name="_dlc_DocIdItemGuid">
    <vt:lpwstr>26871ea7-f764-4995-b5ea-d05096b306c2</vt:lpwstr>
  </property>
  <property fmtid="{D5CDD505-2E9C-101B-9397-08002B2CF9AE}" pid="5" name="_dlc_DocIdUrl">
    <vt:lpwstr>https://portal.smrey.net/areas/it/_layouts/15/DocIdRedir.aspx?ID=FWJASSSE55TN-275-110, FWJASSSE55TN-275-110</vt:lpwstr>
  </property>
  <property fmtid="{D5CDD505-2E9C-101B-9397-08002B2CF9AE}" pid="6" name="MSIP_Label_5917dab6-ed9e-4612-857c-2ecbbef27737_Enabled">
    <vt:lpwstr>true</vt:lpwstr>
  </property>
  <property fmtid="{D5CDD505-2E9C-101B-9397-08002B2CF9AE}" pid="7" name="MSIP_Label_5917dab6-ed9e-4612-857c-2ecbbef27737_SetDate">
    <vt:lpwstr>2026-10-14T19:18:21Z</vt:lpwstr>
  </property>
  <property fmtid="{D5CDD505-2E9C-101B-9397-08002B2CF9AE}" pid="8" name="MSIP_Label_5917dab6-ed9e-4612-857c-2ecbbef27737_Method">
    <vt:lpwstr>Standard</vt:lpwstr>
  </property>
  <property fmtid="{D5CDD505-2E9C-101B-9397-08002B2CF9AE}" pid="9" name="MSIP_Label_5917dab6-ed9e-4612-857c-2ecbbef27737_Name">
    <vt:lpwstr>defa4170-0d19-0005-0004-bc88714345d2</vt:lpwstr>
  </property>
  <property fmtid="{D5CDD505-2E9C-101B-9397-08002B2CF9AE}" pid="10" name="MSIP_Label_5917dab6-ed9e-4612-857c-2ecbbef27737_SiteId">
    <vt:lpwstr>c5988c33-1f4a-4bfe-9566-50dd25b66b9c</vt:lpwstr>
  </property>
  <property fmtid="{D5CDD505-2E9C-101B-9397-08002B2CF9AE}" pid="11" name="MSIP_Label_5917dab6-ed9e-4612-857c-2ecbbef27737_ActionId">
    <vt:lpwstr>c998294a-4825-457a-8f5a-8b711eb1d058</vt:lpwstr>
  </property>
  <property fmtid="{D5CDD505-2E9C-101B-9397-08002B2CF9AE}" pid="12" name="MSIP_Label_5917dab6-ed9e-4612-857c-2ecbbef27737_ContentBits">
    <vt:lpwstr>0</vt:lpwstr>
  </property>
  <property fmtid="{D5CDD505-2E9C-101B-9397-08002B2CF9AE}" pid="13" name="MSIP_Label_5917dab6-ed9e-4612-857c-2ecbbef27737_Tag">
    <vt:lpwstr>10, 3, 0, 1</vt:lpwstr>
  </property>
</Properties>
</file>